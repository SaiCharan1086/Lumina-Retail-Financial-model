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Lookup Reference" sheetId="3" state="visible" r:id="rId5"/>
    <sheet name="Sales Data" sheetId="4" state="visible" r:id="rId6"/>
    <sheet name="Monthly Summary" sheetId="5" state="visible" r:id="rId7"/>
    <sheet name="Assumptions" sheetId="6" state="visible" r:id="rId8"/>
    <sheet name="Financial Model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<sst xmlns="http://schemas.openxmlformats.org/spreadsheetml/2006/main" count="1046" uniqueCount="155">
  <si>
    <t xml:space="preserve">Lumina Retail Co. — Sales &amp; Financial Analysis Model</t>
  </si>
  <si>
    <t xml:space="preserve">Built in Excel | Formulas, Pivot-style Summaries, Dashboard &amp; 12-Month Forecast</t>
  </si>
  <si>
    <t xml:space="preserve">Purpose</t>
  </si>
  <si>
    <t xml:space="preserve">This workbook analyzes two years of multi-region retail sales data, builds a SUMIFS-driven monthly summary, projects a 12-month income statement from a driver-based assumptions panel, and visualizes results on an executive dashboard.</t>
  </si>
  <si>
    <t xml:space="preserve">How it's built</t>
  </si>
  <si>
    <t xml:space="preserve">Every figure that can be calculated IS calculated with a live formula — nothing is hardcoded. Change any blue input cell and the model, summary, and charts recalculate automatically.</t>
  </si>
  <si>
    <t xml:space="preserve">Sheet Guide</t>
  </si>
  <si>
    <t xml:space="preserve">Sheet</t>
  </si>
  <si>
    <t xml:space="preserve">What's in it</t>
  </si>
  <si>
    <t xml:space="preserve">Dashboard</t>
  </si>
  <si>
    <t xml:space="preserve">Executive KPI summary and charts — start here.</t>
  </si>
  <si>
    <t xml:space="preserve">Lookup Reference</t>
  </si>
  <si>
    <t xml:space="preserve">Category rate card; demonstrates XLOOKUP, VLOOKUP, and INDEX/MATCH side by side.</t>
  </si>
  <si>
    <t xml:space="preserve">Assumptions</t>
  </si>
  <si>
    <t xml:space="preserve">Blue-highlighted driver inputs for the 12-month forecast (growth, margin, opex, tax).</t>
  </si>
  <si>
    <t xml:space="preserve">Sales Data</t>
  </si>
  <si>
    <t xml:space="preserve">1,728-row raw transaction table: 24 months x 4 regions x 3 categories x weekly grain.</t>
  </si>
  <si>
    <t xml:space="preserve">Monthly Summary</t>
  </si>
  <si>
    <t xml:space="preserve">SUMIFS pivot-style rollup of raw data by month, with margin % and YoY growth.</t>
  </si>
  <si>
    <t xml:space="preserve">Financial Model</t>
  </si>
  <si>
    <t xml:space="preserve">12-month forward income statement driven entirely by the Assumptions sheet.</t>
  </si>
  <si>
    <t xml:space="preserve">Color legend:</t>
  </si>
  <si>
    <t xml:space="preserve">Blue text</t>
  </si>
  <si>
    <t xml:space="preserve">Hardcoded input / editable assumption</t>
  </si>
  <si>
    <t xml:space="preserve">Black text</t>
  </si>
  <si>
    <t xml:space="preserve">Formula or calculation</t>
  </si>
  <si>
    <t xml:space="preserve">Green text</t>
  </si>
  <si>
    <t xml:space="preserve">Link pulling from another sheet</t>
  </si>
  <si>
    <t xml:space="preserve">Lumina Retail Co. — Executive Dashboard</t>
  </si>
  <si>
    <t xml:space="preserve">FY2024–FY2025 Actuals  |  FY2026 Forecast</t>
  </si>
  <si>
    <t xml:space="preserve">FY2025 Revenue</t>
  </si>
  <si>
    <t xml:space="preserve">FY2025 Gross Margin</t>
  </si>
  <si>
    <t xml:space="preserve">FY2025 Revenue YoY</t>
  </si>
  <si>
    <t xml:space="preserve">FY2026 Forecast Revenue</t>
  </si>
  <si>
    <t xml:space="preserve">FY2026 Forecast Net Income</t>
  </si>
  <si>
    <t xml:space="preserve">FY2026 Forecast Net Margin</t>
  </si>
  <si>
    <t xml:space="preserve">Chart source data pulls live from 'Monthly Summary' and 'Financial Model' sheets.</t>
  </si>
  <si>
    <t xml:space="preserve">Lookup Reference — Category Rate Card</t>
  </si>
  <si>
    <t xml:space="preserve">Feeds Sales Data via XLOOKUP; also compares XLOOKUP, VLOOKUP, and INDEX/MATCH side by side</t>
  </si>
  <si>
    <t xml:space="preserve">Category</t>
  </si>
  <si>
    <t xml:space="preserve">Base Unit Price (₹)</t>
  </si>
  <si>
    <t xml:space="preserve">COGS Rate</t>
  </si>
  <si>
    <t xml:space="preserve">Target Gross Margin %</t>
  </si>
  <si>
    <t xml:space="preserve">Apparel</t>
  </si>
  <si>
    <t xml:space="preserve">Footwear</t>
  </si>
  <si>
    <t xml:space="preserve">Accessories</t>
  </si>
  <si>
    <t xml:space="preserve">Lookup Function Comparison</t>
  </si>
  <si>
    <t xml:space="preserve">Search Category:</t>
  </si>
  <si>
    <t xml:space="preserve">Function</t>
  </si>
  <si>
    <t xml:space="preserve">Result (COGS Rate)</t>
  </si>
  <si>
    <t xml:space="preserve">Notes</t>
  </si>
  <si>
    <t xml:space="preserve">XLOOKUP</t>
  </si>
  <si>
    <t xml:space="preserve">Modern exact-match lookup; returns COGS Rate for the searched category</t>
  </si>
  <si>
    <t xml:space="preserve">VLOOKUP</t>
  </si>
  <si>
    <t xml:space="preserve">Classic lookup; column index 3 = COGS Rate, exact match</t>
  </si>
  <si>
    <t xml:space="preserve">INDEX/MATCH</t>
  </si>
  <si>
    <t xml:space="preserve">Position-based lookup; flexible if columns get reordered</t>
  </si>
  <si>
    <t xml:space="preserve">All three match:</t>
  </si>
  <si>
    <t xml:space="preserve">Note: the XLOOKUP formula is wrapped in IFERROR with an INDEX/MATCH fallback so the workbook still calculates on Excel 2016/2019 or older LibreOffice, which predate XLOOKUP. On Excel 2021/365 the XLOOKUP branch runs directly.</t>
  </si>
  <si>
    <t xml:space="preserve">Raw Sales Data — 24 Months x 4 Regions x 3 Categories</t>
  </si>
  <si>
    <t xml:space="preserve">Date</t>
  </si>
  <si>
    <t xml:space="preserve">Month</t>
  </si>
  <si>
    <t xml:space="preserve">Region</t>
  </si>
  <si>
    <t xml:space="preserve">Units Sold</t>
  </si>
  <si>
    <t xml:space="preserve">Unit Price (₹)</t>
  </si>
  <si>
    <t xml:space="preserve">Revenue (₹)</t>
  </si>
  <si>
    <t xml:space="preserve">COGS (₹)</t>
  </si>
  <si>
    <t xml:space="preserve">Gross Profit (₹)</t>
  </si>
  <si>
    <t xml:space="preserve">Jan-2024</t>
  </si>
  <si>
    <t xml:space="preserve">North</t>
  </si>
  <si>
    <t xml:space="preserve">South</t>
  </si>
  <si>
    <t xml:space="preserve">East</t>
  </si>
  <si>
    <t xml:space="preserve">West</t>
  </si>
  <si>
    <t xml:space="preserve">Feb-2024</t>
  </si>
  <si>
    <t xml:space="preserve">Mar-2024</t>
  </si>
  <si>
    <t xml:space="preserve">Apr-2024</t>
  </si>
  <si>
    <t xml:space="preserve">May-2024</t>
  </si>
  <si>
    <t xml:space="preserve">Jun-2024</t>
  </si>
  <si>
    <t xml:space="preserve">Jul-2024</t>
  </si>
  <si>
    <t xml:space="preserve">Aug-2024</t>
  </si>
  <si>
    <t xml:space="preserve">Sep-2024</t>
  </si>
  <si>
    <t xml:space="preserve">Oct-2024</t>
  </si>
  <si>
    <t xml:space="preserve">Nov-2024</t>
  </si>
  <si>
    <t xml:space="preserve">Dec-2024</t>
  </si>
  <si>
    <t xml:space="preserve">Jan-2025</t>
  </si>
  <si>
    <t xml:space="preserve">Feb-2025</t>
  </si>
  <si>
    <t xml:space="preserve">Mar-2025</t>
  </si>
  <si>
    <t xml:space="preserve">Apr-2025</t>
  </si>
  <si>
    <t xml:space="preserve">May-2025</t>
  </si>
  <si>
    <t xml:space="preserve">Jun-2025</t>
  </si>
  <si>
    <t xml:space="preserve">Jul-2025</t>
  </si>
  <si>
    <t xml:space="preserve">Aug-2025</t>
  </si>
  <si>
    <t xml:space="preserve">Sep-2025</t>
  </si>
  <si>
    <t xml:space="preserve">Oct-2025</t>
  </si>
  <si>
    <t xml:space="preserve">Nov-2025</t>
  </si>
  <si>
    <t xml:space="preserve">Dec-2025</t>
  </si>
  <si>
    <t xml:space="preserve">Monthly Summary — SUMIFS Rollup with Margin % and YoY Growth</t>
  </si>
  <si>
    <t xml:space="preserve">Gross Margin %</t>
  </si>
  <si>
    <t xml:space="preserve">Revenue YoY %</t>
  </si>
  <si>
    <t xml:space="preserve">3-Mo Avg Revenue (₹)</t>
  </si>
  <si>
    <t xml:space="preserve">n/a</t>
  </si>
  <si>
    <t xml:space="preserve">TOTAL / AVG</t>
  </si>
  <si>
    <t xml:space="preserve">Region x Category — FY2025 Revenue</t>
  </si>
  <si>
    <t xml:space="preserve">Total</t>
  </si>
  <si>
    <t xml:space="preserve">Forecast Assumptions</t>
  </si>
  <si>
    <t xml:space="preserve">Edit the blue cells to drive the 12-month forecast</t>
  </si>
  <si>
    <t xml:space="preserve">Revenue Drivers</t>
  </si>
  <si>
    <t xml:space="preserve">Base month revenue (last actual, Dec-2025)</t>
  </si>
  <si>
    <t xml:space="preserve">Linked from Monthly Summary</t>
  </si>
  <si>
    <t xml:space="preserve">Monthly revenue growth rate</t>
  </si>
  <si>
    <t xml:space="preserve">Applied compounding month over month</t>
  </si>
  <si>
    <t xml:space="preserve">Seasonality uplift — Nov/Dec (holiday)</t>
  </si>
  <si>
    <t xml:space="preserve">Extra growth applied in Nov &amp; Dec</t>
  </si>
  <si>
    <t xml:space="preserve">Margin &amp; Cost Drivers</t>
  </si>
  <si>
    <t xml:space="preserve">Blended COGS % of revenue</t>
  </si>
  <si>
    <t xml:space="preserve">Weighted avg of category COGS rates</t>
  </si>
  <si>
    <t xml:space="preserve">Operating expenses % of revenue</t>
  </si>
  <si>
    <t xml:space="preserve">Marketing, fulfillment, G&amp;A combined</t>
  </si>
  <si>
    <t xml:space="preserve">D&amp;A % of revenue</t>
  </si>
  <si>
    <t xml:space="preserve">Interest expense (₹/mo)</t>
  </si>
  <si>
    <t xml:space="preserve">Fixed debt service</t>
  </si>
  <si>
    <t xml:space="preserve">Effective tax rate</t>
  </si>
  <si>
    <t xml:space="preserve">Forecast Window</t>
  </si>
  <si>
    <t xml:space="preserve">Forecast start month</t>
  </si>
  <si>
    <t xml:space="preserve">Jan-2026</t>
  </si>
  <si>
    <t xml:space="preserve">First forward-looking month</t>
  </si>
  <si>
    <t xml:space="preserve">Forecast length (months)</t>
  </si>
  <si>
    <t xml:space="preserve">12-Month Forward Income Statement</t>
  </si>
  <si>
    <t xml:space="preserve">Fully driven by Assumptions sheet — change inputs there to flex this model</t>
  </si>
  <si>
    <t xml:space="preserve">Line Item (₹)</t>
  </si>
  <si>
    <t xml:space="preserve">Feb-2026</t>
  </si>
  <si>
    <t xml:space="preserve">Mar-2026</t>
  </si>
  <si>
    <t xml:space="preserve">Apr-2026</t>
  </si>
  <si>
    <t xml:space="preserve">May-2026</t>
  </si>
  <si>
    <t xml:space="preserve">Jun-2026</t>
  </si>
  <si>
    <t xml:space="preserve">Jul-2026</t>
  </si>
  <si>
    <t xml:space="preserve">Aug-2026</t>
  </si>
  <si>
    <t xml:space="preserve">Sep-2026</t>
  </si>
  <si>
    <t xml:space="preserve">Oct-2026</t>
  </si>
  <si>
    <t xml:space="preserve">Nov-2026</t>
  </si>
  <si>
    <t xml:space="preserve">Dec-2026</t>
  </si>
  <si>
    <t xml:space="preserve">FY2026 Total</t>
  </si>
  <si>
    <t xml:space="preserve">Revenue</t>
  </si>
  <si>
    <t xml:space="preserve">COGS</t>
  </si>
  <si>
    <t xml:space="preserve">Gross Profit</t>
  </si>
  <si>
    <t xml:space="preserve">  Gross Margin %</t>
  </si>
  <si>
    <t xml:space="preserve">Operating Expenses</t>
  </si>
  <si>
    <t xml:space="preserve">EBITDA</t>
  </si>
  <si>
    <t xml:space="preserve">D&amp;A</t>
  </si>
  <si>
    <t xml:space="preserve">EBIT</t>
  </si>
  <si>
    <t xml:space="preserve">Interest Expense</t>
  </si>
  <si>
    <t xml:space="preserve">Pre-Tax Income (EBT)</t>
  </si>
  <si>
    <t xml:space="preserve">Income Tax</t>
  </si>
  <si>
    <t xml:space="preserve">Net Income</t>
  </si>
  <si>
    <t xml:space="preserve">  Net Margin %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</si>
</sst>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₹#,##0;&quot;(₹&quot;#,##0\);\-"/>
    <numFmt numFmtId="166" formatCode="0.0%;\(0.0%\);\-"/>
    <numFmt numFmtId="167" formatCode="\₹#,##0.00;&quot;(₹&quot;#,##0.00\);\-"/>
    <numFmt numFmtId="168" formatCode="mmm\-yyyy"/>
    <numFmt numFmtId="169" formatCode="#,##0;\(#,##0\);\-"/>
    <numFmt numFmtId="170" formatCode="@"/>
    <numFmt numFmtId="171" formatCode="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1"/>
      <color rgb="FFD9D9D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22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548235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222222"/>
      </patternFill>
    </fill>
    <fill>
      <patternFill patternType="solid">
        <fgColor rgb="FF2E75B6"/>
        <bgColor rgb="FF4F81BD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DCE6F1"/>
        <bgColor rgb="FFD9D9D9"/>
      </patternFill>
    </fill>
    <fill>
      <patternFill patternType="solid">
        <fgColor rgb="FFFFFF00"/>
        <bgColor rgb="FFECD8D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1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6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BB4D4B"/>
      <rgbColor rgb="FF00FF00"/>
      <rgbColor rgb="FF0000FF"/>
      <rgbColor rgb="FFFFFF00"/>
      <rgbColor rgb="FFC0504D"/>
      <rgbColor rgb="FFD19695"/>
      <rgbColor rgb="FF873836"/>
      <rgbColor rgb="FF008000"/>
      <rgbColor rgb="FFC77270"/>
      <rgbColor rgb="FF548235"/>
      <rgbColor rgb="FF9E413F"/>
      <rgbColor rgb="FFB44B48"/>
      <rgbColor rgb="FFBFBFBF"/>
      <rgbColor rgb="FF808080"/>
      <rgbColor rgb="FFD49E9D"/>
      <rgbColor rgb="FF953E3C"/>
      <rgbColor rgb="FFF9F9F9"/>
      <rgbColor rgb="FFDCE6F1"/>
      <rgbColor rgb="FFA64542"/>
      <rgbColor rgb="FFCC8684"/>
      <rgbColor rgb="FFC46664"/>
      <rgbColor rgb="FFD9D9D9"/>
      <rgbColor rgb="FFC97C7B"/>
      <rgbColor rgb="FFBE4F4C"/>
      <rgbColor rgb="FFE7CECE"/>
      <rgbColor rgb="FFCF8E8D"/>
      <rgbColor rgb="FFA24341"/>
      <rgbColor rgb="FF9A403D"/>
      <rgbColor rgb="FFB74C49"/>
      <rgbColor rgb="FF0000FF"/>
      <rgbColor rgb="FFE0BEBD"/>
      <rgbColor rgb="FFF2F2F2"/>
      <rgbColor rgb="FFECD8D8"/>
      <rgbColor rgb="FFE9D3D3"/>
      <rgbColor rgb="FFE3C3C3"/>
      <rgbColor rgb="FFD9ABAB"/>
      <rgbColor rgb="FFD6A5A4"/>
      <rgbColor rgb="FFE5C9C8"/>
      <rgbColor rgb="FF2E75B6"/>
      <rgbColor rgb="FFDEB8B7"/>
      <rgbColor rgb="FF9BBB59"/>
      <rgbColor rgb="FFDBB2B1"/>
      <rgbColor rgb="FFBF8F00"/>
      <rgbColor rgb="FFC15855"/>
      <rgbColor rgb="FF595959"/>
      <rgbColor rgb="FF878787"/>
      <rgbColor rgb="FF1F3864"/>
      <rgbColor rgb="FF4F81BD"/>
      <rgbColor rgb="FFB14946"/>
      <rgbColor rgb="FFA94644"/>
      <rgbColor rgb="FF8C3A38"/>
      <rgbColor rgb="FF913C3A"/>
      <rgbColor rgb="FFAD4845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&amp; Gross Profit Trend (FY24–FY25)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Summary'!C3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2e75b6"/>
            </a:solidFill>
            <a:ln w="219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Summary'!$A$4:$A$27</c:f>
              <c:strCache>
                <c:ptCount val="24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  <c:pt idx="12">
                  <c:v>Jan-2025</c:v>
                </c:pt>
                <c:pt idx="13">
                  <c:v>Feb-2025</c:v>
                </c:pt>
                <c:pt idx="14">
                  <c:v>Mar-2025</c:v>
                </c:pt>
                <c:pt idx="15">
                  <c:v>Apr-2025</c:v>
                </c:pt>
                <c:pt idx="16">
                  <c:v>May-2025</c:v>
                </c:pt>
                <c:pt idx="17">
                  <c:v>Jun-2025</c:v>
                </c:pt>
                <c:pt idx="18">
                  <c:v>Jul-2025</c:v>
                </c:pt>
                <c:pt idx="19">
                  <c:v>Aug-2025</c:v>
                </c:pt>
                <c:pt idx="20">
                  <c:v>Sep-2025</c:v>
                </c:pt>
                <c:pt idx="21">
                  <c:v>Oct-2025</c:v>
                </c:pt>
                <c:pt idx="22">
                  <c:v>Nov-2025</c:v>
                </c:pt>
                <c:pt idx="23">
                  <c:v>Dec-2025</c:v>
                </c:pt>
              </c:strCache>
            </c:strRef>
          </c:cat>
          <c:val>
            <c:numRef>
              <c:f>'Monthly Summary'!$C$4:$C$27</c:f>
              <c:numCache>
                <c:formatCode>\₹#,##0;"(₹"#,##0\);\-</c:formatCode>
                <c:ptCount val="24"/>
                <c:pt idx="0">
                  <c:v>14716127.11</c:v>
                </c:pt>
                <c:pt idx="1">
                  <c:v>14687445.2</c:v>
                </c:pt>
                <c:pt idx="2">
                  <c:v>16988765.87</c:v>
                </c:pt>
                <c:pt idx="3">
                  <c:v>18260180.95</c:v>
                </c:pt>
                <c:pt idx="4">
                  <c:v>20020429.14</c:v>
                </c:pt>
                <c:pt idx="5">
                  <c:v>20637439.84</c:v>
                </c:pt>
                <c:pt idx="6">
                  <c:v>19973819.87</c:v>
                </c:pt>
                <c:pt idx="7">
                  <c:v>19598396.58</c:v>
                </c:pt>
                <c:pt idx="8">
                  <c:v>19680423.52</c:v>
                </c:pt>
                <c:pt idx="9">
                  <c:v>20943315.89</c:v>
                </c:pt>
                <c:pt idx="10">
                  <c:v>25744746.19</c:v>
                </c:pt>
                <c:pt idx="11">
                  <c:v>29473008.57</c:v>
                </c:pt>
                <c:pt idx="12">
                  <c:v>17380627.16</c:v>
                </c:pt>
                <c:pt idx="13">
                  <c:v>17119732.4</c:v>
                </c:pt>
                <c:pt idx="14">
                  <c:v>20025057.63</c:v>
                </c:pt>
                <c:pt idx="15">
                  <c:v>20876729.5</c:v>
                </c:pt>
                <c:pt idx="16">
                  <c:v>22158513.73</c:v>
                </c:pt>
                <c:pt idx="17">
                  <c:v>23465606.3</c:v>
                </c:pt>
                <c:pt idx="18">
                  <c:v>24174099.77</c:v>
                </c:pt>
                <c:pt idx="19">
                  <c:v>22402618.64</c:v>
                </c:pt>
                <c:pt idx="20">
                  <c:v>21789297.87</c:v>
                </c:pt>
                <c:pt idx="21">
                  <c:v>24102708.55</c:v>
                </c:pt>
                <c:pt idx="22">
                  <c:v>29293725.24</c:v>
                </c:pt>
                <c:pt idx="23">
                  <c:v>34177075.39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'Monthly Summary'!E3</c:f>
              <c:strCache>
                <c:ptCount val="1"/>
                <c:pt idx="0">
                  <c:v>Gross Profit (₹)</c:v>
                </c:pt>
              </c:strCache>
            </c:strRef>
          </c:tx>
          <c:spPr>
            <a:solidFill>
              <a:srgbClr val="548235"/>
            </a:solidFill>
            <a:ln w="2196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Summary'!$A$4:$A$27</c:f>
              <c:strCache>
                <c:ptCount val="24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  <c:pt idx="12">
                  <c:v>Jan-2025</c:v>
                </c:pt>
                <c:pt idx="13">
                  <c:v>Feb-2025</c:v>
                </c:pt>
                <c:pt idx="14">
                  <c:v>Mar-2025</c:v>
                </c:pt>
                <c:pt idx="15">
                  <c:v>Apr-2025</c:v>
                </c:pt>
                <c:pt idx="16">
                  <c:v>May-2025</c:v>
                </c:pt>
                <c:pt idx="17">
                  <c:v>Jun-2025</c:v>
                </c:pt>
                <c:pt idx="18">
                  <c:v>Jul-2025</c:v>
                </c:pt>
                <c:pt idx="19">
                  <c:v>Aug-2025</c:v>
                </c:pt>
                <c:pt idx="20">
                  <c:v>Sep-2025</c:v>
                </c:pt>
                <c:pt idx="21">
                  <c:v>Oct-2025</c:v>
                </c:pt>
                <c:pt idx="22">
                  <c:v>Nov-2025</c:v>
                </c:pt>
                <c:pt idx="23">
                  <c:v>Dec-2025</c:v>
                </c:pt>
              </c:strCache>
            </c:strRef>
          </c:cat>
          <c:val>
            <c:numRef>
              <c:f>'Monthly Summary'!$E$4:$E$27</c:f>
              <c:numCache>
                <c:formatCode>\₹#,##0;"(₹"#,##0\);\-</c:formatCode>
                <c:ptCount val="24"/>
                <c:pt idx="0">
                  <c:v>7800376.631</c:v>
                </c:pt>
                <c:pt idx="1">
                  <c:v>7802123.6696</c:v>
                </c:pt>
                <c:pt idx="2">
                  <c:v>9026812.3512</c:v>
                </c:pt>
                <c:pt idx="3">
                  <c:v>9658365.9262</c:v>
                </c:pt>
                <c:pt idx="4">
                  <c:v>10596348.6968</c:v>
                </c:pt>
                <c:pt idx="5">
                  <c:v>10918171.6344</c:v>
                </c:pt>
                <c:pt idx="6">
                  <c:v>10572922.1902</c:v>
                </c:pt>
                <c:pt idx="7">
                  <c:v>10390874.767</c:v>
                </c:pt>
                <c:pt idx="8">
                  <c:v>10451216.1934</c:v>
                </c:pt>
                <c:pt idx="9">
                  <c:v>11160237.0072</c:v>
                </c:pt>
                <c:pt idx="10">
                  <c:v>13578025.2144</c:v>
                </c:pt>
                <c:pt idx="11">
                  <c:v>15619940.5378</c:v>
                </c:pt>
                <c:pt idx="12">
                  <c:v>9212854.4476</c:v>
                </c:pt>
                <c:pt idx="13">
                  <c:v>9081836.6292</c:v>
                </c:pt>
                <c:pt idx="14">
                  <c:v>10616272.1886</c:v>
                </c:pt>
                <c:pt idx="15">
                  <c:v>11087139.1214</c:v>
                </c:pt>
                <c:pt idx="16">
                  <c:v>11753540.1248</c:v>
                </c:pt>
                <c:pt idx="17">
                  <c:v>12436925.112</c:v>
                </c:pt>
                <c:pt idx="18">
                  <c:v>12828465.977</c:v>
                </c:pt>
                <c:pt idx="19">
                  <c:v>11876825.2902</c:v>
                </c:pt>
                <c:pt idx="20">
                  <c:v>11560111.1554</c:v>
                </c:pt>
                <c:pt idx="21">
                  <c:v>12814616.2142</c:v>
                </c:pt>
                <c:pt idx="22">
                  <c:v>15593511.306</c:v>
                </c:pt>
                <c:pt idx="23">
                  <c:v>18118436.4318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8787943"/>
        <c:axId val="15978022"/>
      </c:lineChart>
      <c:catAx>
        <c:axId val="887879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978022"/>
        <c:crosses val="autoZero"/>
        <c:auto val="1"/>
        <c:lblAlgn val="ctr"/>
        <c:lblOffset val="100"/>
        <c:noMultiLvlLbl val="0"/>
      </c:catAx>
      <c:valAx>
        <c:axId val="159780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;&quot;(₹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7879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FY2025 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Summary'!E32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Summary'!$A$33:$A$36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'Monthly Summary'!$E$33:$E$36</c:f>
              <c:numCache>
                <c:formatCode>\₹#,##0;"(₹"#,##0\);\-</c:formatCode>
                <c:ptCount val="4"/>
                <c:pt idx="0">
                  <c:v>69779876.57</c:v>
                </c:pt>
                <c:pt idx="1">
                  <c:v>62361957.38</c:v>
                </c:pt>
                <c:pt idx="2">
                  <c:v>76444460.92</c:v>
                </c:pt>
                <c:pt idx="3">
                  <c:v>68379497.31</c:v>
                </c:pt>
              </c:numCache>
            </c:numRef>
          </c:val>
        </c:ser>
        <c:gapWidth val="150"/>
        <c:overlap val="0"/>
        <c:axId val="60700348"/>
        <c:axId val="19825822"/>
      </c:barChart>
      <c:catAx>
        <c:axId val="607003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825822"/>
        <c:crosses val="autoZero"/>
        <c:auto val="1"/>
        <c:lblAlgn val="ctr"/>
        <c:lblOffset val="100"/>
        <c:noMultiLvlLbl val="0"/>
      </c:catAx>
      <c:valAx>
        <c:axId val="198258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;&quot;(₹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7003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FY2025 Revenue Mix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Lbls>
            <c:numFmt formatCode="\₹#,##0;&quot;(₹&quot;#,##0\);\-" sourceLinked="1"/>
            <c:dLbl>
              <c:idx val="0"/>
              <c:numFmt formatCode="\₹#,##0;&quot;(₹&quot;#,##0\)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'Monthly Summary'!$B$32:$D$32</c:f>
              <c:strCache>
                <c:ptCount val="3"/>
                <c:pt idx="0">
                  <c:v>Apparel</c:v>
                </c:pt>
                <c:pt idx="1">
                  <c:v>Footwear</c:v>
                </c:pt>
                <c:pt idx="2">
                  <c:v>Accessories</c:v>
                </c:pt>
              </c:strCache>
            </c:strRef>
          </c:cat>
          <c:val>
            <c:numRef>
              <c:f>'Monthly Summary'!$B$37</c:f>
              <c:numCache>
                <c:formatCode>\₹#,##0;"(₹"#,##0\);\-</c:formatCode>
                <c:ptCount val="1"/>
                <c:pt idx="0">
                  <c:v>112505987.65</c:v>
                </c:pt>
              </c:numCache>
            </c:numRef>
          </c:val>
        </c:ser>
        <c:ser>
          <c:idx val="1"/>
          <c:order val="1"/>
          <c:spPr>
            <a:solidFill>
              <a:srgbClr val="c0504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Lbls>
            <c:numFmt formatCode="\₹#,##0;&quot;(₹&quot;#,##0\);\-" sourceLinked="1"/>
            <c:dLbl>
              <c:idx val="0"/>
              <c:numFmt formatCode="\₹#,##0;&quot;(₹&quot;#,##0\)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'Monthly Summary'!$B$32:$D$32</c:f>
              <c:strCache>
                <c:ptCount val="3"/>
                <c:pt idx="0">
                  <c:v>Apparel</c:v>
                </c:pt>
                <c:pt idx="1">
                  <c:v>Footwear</c:v>
                </c:pt>
                <c:pt idx="2">
                  <c:v>Accessories</c:v>
                </c:pt>
              </c:strCache>
            </c:strRef>
          </c:cat>
          <c:val>
            <c:numRef>
              <c:f>'Monthly Summary'!$C$37</c:f>
              <c:numCache>
                <c:formatCode>\₹#,##0;"(₹"#,##0\);\-</c:formatCode>
                <c:ptCount val="1"/>
                <c:pt idx="0">
                  <c:v>112412701.01</c:v>
                </c:pt>
              </c:numCache>
            </c:numRef>
          </c:val>
        </c:ser>
        <c:ser>
          <c:idx val="2"/>
          <c:order val="2"/>
          <c:spPr>
            <a:solidFill>
              <a:srgbClr val="9bbb59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Lbls>
            <c:numFmt formatCode="\₹#,##0;&quot;(₹&quot;#,##0\);\-" sourceLinked="1"/>
            <c:dLbl>
              <c:idx val="0"/>
              <c:numFmt formatCode="\₹#,##0;&quot;(₹&quot;#,##0\)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'Monthly Summary'!$B$32:$D$32</c:f>
              <c:strCache>
                <c:ptCount val="3"/>
                <c:pt idx="0">
                  <c:v>Apparel</c:v>
                </c:pt>
                <c:pt idx="1">
                  <c:v>Footwear</c:v>
                </c:pt>
                <c:pt idx="2">
                  <c:v>Accessories</c:v>
                </c:pt>
              </c:strCache>
            </c:strRef>
          </c:cat>
          <c:val>
            <c:numRef>
              <c:f>'Monthly Summary'!$D$37</c:f>
              <c:numCache>
                <c:formatCode>\₹#,##0;"(₹"#,##0\);\-</c:formatCode>
                <c:ptCount val="1"/>
                <c:pt idx="0">
                  <c:v>52047103.52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FY2026 Forecast: Revenue, EBITDA &amp; Net Income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Model'!$B$3:$M$3</c:f>
              <c:multiLvlStrCache>
                <c:ptCount val="1"/>
                <c:lvl>
                  <c:pt idx="0">
                    <c:v>Dec-2026</c:v>
                  </c:pt>
                </c:lvl>
                <c:lvl>
                  <c:pt idx="0">
                    <c:v>Nov-2026</c:v>
                  </c:pt>
                </c:lvl>
                <c:lvl>
                  <c:pt idx="0">
                    <c:v>Oct-2026</c:v>
                  </c:pt>
                </c:lvl>
                <c:lvl>
                  <c:pt idx="0">
                    <c:v>Sep-2026</c:v>
                  </c:pt>
                </c:lvl>
                <c:lvl>
                  <c:pt idx="0">
                    <c:v>Aug-2026</c:v>
                  </c:pt>
                </c:lvl>
                <c:lvl>
                  <c:pt idx="0">
                    <c:v>Jul-2026</c:v>
                  </c:pt>
                </c:lvl>
                <c:lvl>
                  <c:pt idx="0">
                    <c:v>Jun-2026</c:v>
                  </c:pt>
                </c:lvl>
                <c:lvl>
                  <c:pt idx="0">
                    <c:v>May-2026</c:v>
                  </c:pt>
                </c:lvl>
                <c:lvl>
                  <c:pt idx="0">
                    <c:v>Apr-2026</c:v>
                  </c:pt>
                </c:lvl>
                <c:lvl>
                  <c:pt idx="0">
                    <c:v>Mar-2026</c:v>
                  </c:pt>
                </c:lvl>
                <c:lvl>
                  <c:pt idx="0">
                    <c:v>Feb-2026</c:v>
                  </c:pt>
                </c:lvl>
                <c:lvl>
                  <c:pt idx="0">
                    <c:v>Jan-2026</c:v>
                  </c:pt>
                </c:lvl>
              </c:multiLvlStrCache>
            </c:multiLvlStrRef>
          </c:cat>
          <c:val>
            <c:numRef>
              <c:f>'Financial Model'!$B$4</c:f>
              <c:numCache>
                <c:formatCode>\₹#,##0;"(₹"#,##0\);\-</c:formatCode>
                <c:ptCount val="1"/>
                <c:pt idx="0">
                  <c:v>34860616.8978</c:v>
                </c:pt>
              </c:numCache>
            </c:numRef>
          </c:val>
        </c:ser>
        <c:ser>
          <c:idx val="1"/>
          <c:order val="1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bf8f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Model'!$B$3:$M$3</c:f>
              <c:multiLvlStrCache>
                <c:ptCount val="1"/>
                <c:lvl>
                  <c:pt idx="0">
                    <c:v>Dec-2026</c:v>
                  </c:pt>
                </c:lvl>
                <c:lvl>
                  <c:pt idx="0">
                    <c:v>Nov-2026</c:v>
                  </c:pt>
                </c:lvl>
                <c:lvl>
                  <c:pt idx="0">
                    <c:v>Oct-2026</c:v>
                  </c:pt>
                </c:lvl>
                <c:lvl>
                  <c:pt idx="0">
                    <c:v>Sep-2026</c:v>
                  </c:pt>
                </c:lvl>
                <c:lvl>
                  <c:pt idx="0">
                    <c:v>Aug-2026</c:v>
                  </c:pt>
                </c:lvl>
                <c:lvl>
                  <c:pt idx="0">
                    <c:v>Jul-2026</c:v>
                  </c:pt>
                </c:lvl>
                <c:lvl>
                  <c:pt idx="0">
                    <c:v>Jun-2026</c:v>
                  </c:pt>
                </c:lvl>
                <c:lvl>
                  <c:pt idx="0">
                    <c:v>May-2026</c:v>
                  </c:pt>
                </c:lvl>
                <c:lvl>
                  <c:pt idx="0">
                    <c:v>Apr-2026</c:v>
                  </c:pt>
                </c:lvl>
                <c:lvl>
                  <c:pt idx="0">
                    <c:v>Mar-2026</c:v>
                  </c:pt>
                </c:lvl>
                <c:lvl>
                  <c:pt idx="0">
                    <c:v>Feb-2026</c:v>
                  </c:pt>
                </c:lvl>
                <c:lvl>
                  <c:pt idx="0">
                    <c:v>Jan-2026</c:v>
                  </c:pt>
                </c:lvl>
              </c:multiLvlStrCache>
            </c:multiLvlStrRef>
          </c:cat>
          <c:val>
            <c:numRef>
              <c:f>'Financial Model'!$C$4</c:f>
              <c:numCache>
                <c:formatCode>\₹#,##0;"(₹"#,##0\);\-</c:formatCode>
                <c:ptCount val="1"/>
                <c:pt idx="0">
                  <c:v>35557829.235756</c:v>
                </c:pt>
              </c:numCache>
            </c:numRef>
          </c:val>
        </c:ser>
        <c:ser>
          <c:idx val="2"/>
          <c:order val="2"/>
          <c:tx>
            <c:strRef>
              <c:f>"Net Income"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54823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Model'!$B$3:$M$3</c:f>
              <c:multiLvlStrCache>
                <c:ptCount val="1"/>
                <c:lvl>
                  <c:pt idx="0">
                    <c:v>Dec-2026</c:v>
                  </c:pt>
                </c:lvl>
                <c:lvl>
                  <c:pt idx="0">
                    <c:v>Nov-2026</c:v>
                  </c:pt>
                </c:lvl>
                <c:lvl>
                  <c:pt idx="0">
                    <c:v>Oct-2026</c:v>
                  </c:pt>
                </c:lvl>
                <c:lvl>
                  <c:pt idx="0">
                    <c:v>Sep-2026</c:v>
                  </c:pt>
                </c:lvl>
                <c:lvl>
                  <c:pt idx="0">
                    <c:v>Aug-2026</c:v>
                  </c:pt>
                </c:lvl>
                <c:lvl>
                  <c:pt idx="0">
                    <c:v>Jul-2026</c:v>
                  </c:pt>
                </c:lvl>
                <c:lvl>
                  <c:pt idx="0">
                    <c:v>Jun-2026</c:v>
                  </c:pt>
                </c:lvl>
                <c:lvl>
                  <c:pt idx="0">
                    <c:v>May-2026</c:v>
                  </c:pt>
                </c:lvl>
                <c:lvl>
                  <c:pt idx="0">
                    <c:v>Apr-2026</c:v>
                  </c:pt>
                </c:lvl>
                <c:lvl>
                  <c:pt idx="0">
                    <c:v>Mar-2026</c:v>
                  </c:pt>
                </c:lvl>
                <c:lvl>
                  <c:pt idx="0">
                    <c:v>Feb-2026</c:v>
                  </c:pt>
                </c:lvl>
                <c:lvl>
                  <c:pt idx="0">
                    <c:v>Jan-2026</c:v>
                  </c:pt>
                </c:lvl>
              </c:multiLvlStrCache>
            </c:multiLvlStrRef>
          </c:cat>
          <c:val>
            <c:numRef>
              <c:f>'Financial Model'!$D$4</c:f>
              <c:numCache>
                <c:formatCode>\₹#,##0;"(₹"#,##0\);\-</c:formatCode>
                <c:ptCount val="1"/>
                <c:pt idx="0">
                  <c:v>36268985.8204711</c:v>
                </c:pt>
              </c:numCache>
            </c:numRef>
          </c:val>
        </c:ser>
        <c:ser>
          <c:idx val="3"/>
          <c:order val="3"/>
          <c:spPr>
            <a:solidFill>
              <a:srgbClr val="87383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Model'!$B$3:$M$3</c:f>
              <c:multiLvlStrCache>
                <c:ptCount val="1"/>
                <c:lvl>
                  <c:pt idx="0">
                    <c:v>Dec-2026</c:v>
                  </c:pt>
                </c:lvl>
                <c:lvl>
                  <c:pt idx="0">
                    <c:v>Nov-2026</c:v>
                  </c:pt>
                </c:lvl>
                <c:lvl>
                  <c:pt idx="0">
                    <c:v>Oct-2026</c:v>
                  </c:pt>
                </c:lvl>
                <c:lvl>
                  <c:pt idx="0">
                    <c:v>Sep-2026</c:v>
                  </c:pt>
                </c:lvl>
                <c:lvl>
                  <c:pt idx="0">
                    <c:v>Aug-2026</c:v>
                  </c:pt>
                </c:lvl>
                <c:lvl>
                  <c:pt idx="0">
                    <c:v>Jul-2026</c:v>
                  </c:pt>
                </c:lvl>
                <c:lvl>
                  <c:pt idx="0">
                    <c:v>Jun-2026</c:v>
                  </c:pt>
                </c:lvl>
                <c:lvl>
                  <c:pt idx="0">
                    <c:v>May-2026</c:v>
                  </c:pt>
                </c:lvl>
                <c:lvl>
                  <c:pt idx="0">
                    <c:v>Apr-2026</c:v>
                  </c:pt>
                </c:lvl>
                <c:lvl>
                  <c:pt idx="0">
                    <c:v>Mar-2026</c:v>
                  </c:pt>
                </c:lvl>
                <c:lvl>
                  <c:pt idx="0">
                    <c:v>Feb-2026</c:v>
                  </c:pt>
                </c:lvl>
                <c:lvl>
                  <c:pt idx="0">
                    <c:v>Jan-2026</c:v>
                  </c:pt>
                </c:lvl>
              </c:multiLvlStrCache>
            </c:multiLvlStrRef>
          </c:cat>
          <c:val>
            <c:numRef>
              <c:f>'Financial Model'!$E$4</c:f>
              <c:numCache>
                <c:formatCode>\₹#,##0;"(₹"#,##0\);\-</c:formatCode>
                <c:ptCount val="1"/>
                <c:pt idx="0">
                  <c:v>36994365.5368805</c:v>
                </c:pt>
              </c:numCache>
            </c:numRef>
          </c:val>
        </c:ser>
        <c:ser>
          <c:idx val="4"/>
          <c:order val="4"/>
          <c:spPr>
            <a:solidFill>
              <a:srgbClr val="8c3a3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Model'!$B$3:$M$3</c:f>
              <c:multiLvlStrCache>
                <c:ptCount val="1"/>
                <c:lvl>
                  <c:pt idx="0">
                    <c:v>Dec-2026</c:v>
                  </c:pt>
                </c:lvl>
                <c:lvl>
                  <c:pt idx="0">
                    <c:v>Nov-2026</c:v>
                  </c:pt>
                </c:lvl>
                <c:lvl>
                  <c:pt idx="0">
                    <c:v>Oct-2026</c:v>
                  </c:pt>
                </c:lvl>
                <c:lvl>
                  <c:pt idx="0">
                    <c:v>Sep-2026</c:v>
                  </c:pt>
                </c:lvl>
                <c:lvl>
                  <c:pt idx="0">
                    <c:v>Aug-2026</c:v>
                  </c:pt>
                </c:lvl>
                <c:lvl>
                  <c:pt idx="0">
                    <c:v>Jul-2026</c:v>
                  </c:pt>
                </c:lvl>
                <c:lvl>
                  <c:pt idx="0">
                    <c:v>Jun-2026</c:v>
                  </c:pt>
                </c:lvl>
                <c:lvl>
                  <c:pt idx="0">
                    <c:v>May-2026</c:v>
                  </c:pt>
                </c:lvl>
                <c:lvl>
                  <c:pt idx="0">
                    <c:v>Apr-2026</c:v>
                  </c:pt>
                </c:lvl>
                <c:lvl>
                  <c:pt idx="0">
                    <c:v>Mar-2026</c:v>
                  </c:pt>
                </c:lvl>
                <c:lvl>
                  <c:pt idx="0">
                    <c:v>Feb-2026</c:v>
                  </c:pt>
                </c:lvl>
                <c:lvl>
                  <c:pt idx="0">
                    <c:v>Jan-2026</c:v>
                  </c:pt>
                </c:lvl>
              </c:multiLvlStrCache>
            </c:multiLvlStrRef>
          </c:cat>
          <c:val>
            <c:numRef>
              <c:f>'Financial Model'!$F$4</c:f>
              <c:numCache>
                <c:formatCode>\₹#,##0;"(₹"#,##0\);\-</c:formatCode>
                <c:ptCount val="1"/>
                <c:pt idx="0">
                  <c:v>37734252.8476182</c:v>
                </c:pt>
              </c:numCache>
            </c:numRef>
          </c:val>
        </c:ser>
        <c:ser>
          <c:idx val="5"/>
          <c:order val="5"/>
          <c:spPr>
            <a:solidFill>
              <a:srgbClr val="913c3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Model'!$B$3:$M$3</c:f>
              <c:multiLvlStrCache>
                <c:ptCount val="1"/>
                <c:lvl>
                  <c:pt idx="0">
                    <c:v>Dec-2026</c:v>
                  </c:pt>
                </c:lvl>
                <c:lvl>
                  <c:pt idx="0">
                    <c:v>Nov-2026</c:v>
                  </c:pt>
                </c:lvl>
                <c:lvl>
                  <c:pt idx="0">
                    <c:v>Oct-2026</c:v>
                  </c:pt>
                </c:lvl>
                <c:lvl>
                  <c:pt idx="0">
                    <c:v>Sep-2026</c:v>
                  </c:pt>
                </c:lvl>
                <c:lvl>
                  <c:pt idx="0">
                    <c:v>Aug-2026</c:v>
                  </c:pt>
                </c:lvl>
                <c:lvl>
                  <c:pt idx="0">
                    <c:v>Jul-2026</c:v>
                  </c:pt>
                </c:lvl>
                <c:lvl>
                  <c:pt idx="0">
                    <c:v>Jun-2026</c:v>
                  </c:pt>
                </c:lvl>
                <c:lvl>
                  <c:pt idx="0">
                    <c:v>May-2026</c:v>
                  </c:pt>
                </c:lvl>
                <c:lvl>
                  <c:pt idx="0">
                    <c:v>Apr-2026</c:v>
                  </c:pt>
                </c:lvl>
                <c:lvl>
                  <c:pt idx="0">
                    <c:v>Mar-2026</c:v>
                  </c:pt>
                </c:lvl>
                <c:lvl>
                  <c:pt idx="0">
                    <c:v>Feb-2026</c:v>
                  </c:pt>
                </c:lvl>
                <c:lvl>
                  <c:pt idx="0">
                    <c:v>Jan-2026</c:v>
                  </c:pt>
                </c:lvl>
              </c:multiLvlStrCache>
            </c:multiLvlStrRef>
          </c:cat>
          <c:val>
            <c:numRef>
              <c:f>'Financial Model'!$G$4</c:f>
              <c:numCache>
                <c:formatCode>\₹#,##0;"(₹"#,##0\);\-</c:formatCode>
                <c:ptCount val="1"/>
                <c:pt idx="0">
                  <c:v>38488937.9045705</c:v>
                </c:pt>
              </c:numCache>
            </c:numRef>
          </c:val>
        </c:ser>
        <c:ser>
          <c:idx val="6"/>
          <c:order val="6"/>
          <c:spPr>
            <a:solidFill>
              <a:srgbClr val="953e3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Model'!$B$3:$M$3</c:f>
              <c:multiLvlStrCache>
                <c:ptCount val="1"/>
                <c:lvl>
                  <c:pt idx="0">
                    <c:v>Dec-2026</c:v>
                  </c:pt>
                </c:lvl>
                <c:lvl>
                  <c:pt idx="0">
                    <c:v>Nov-2026</c:v>
                  </c:pt>
                </c:lvl>
                <c:lvl>
                  <c:pt idx="0">
                    <c:v>Oct-2026</c:v>
                  </c:pt>
                </c:lvl>
                <c:lvl>
                  <c:pt idx="0">
                    <c:v>Sep-2026</c:v>
                  </c:pt>
                </c:lvl>
                <c:lvl>
                  <c:pt idx="0">
                    <c:v>Aug-2026</c:v>
                  </c:pt>
                </c:lvl>
                <c:lvl>
                  <c:pt idx="0">
                    <c:v>Jul-2026</c:v>
                  </c:pt>
                </c:lvl>
                <c:lvl>
                  <c:pt idx="0">
                    <c:v>Jun-2026</c:v>
                  </c:pt>
                </c:lvl>
                <c:lvl>
                  <c:pt idx="0">
                    <c:v>May-2026</c:v>
                  </c:pt>
                </c:lvl>
                <c:lvl>
                  <c:pt idx="0">
                    <c:v>Apr-2026</c:v>
                  </c:pt>
                </c:lvl>
                <c:lvl>
                  <c:pt idx="0">
                    <c:v>Mar-2026</c:v>
                  </c:pt>
                </c:lvl>
                <c:lvl>
                  <c:pt idx="0">
                    <c:v>Feb-2026</c:v>
                  </c:pt>
                </c:lvl>
                <c:lvl>
                  <c:pt idx="0">
                    <c:v>Jan-2026</c:v>
                  </c:pt>
                </c:lvl>
              </c:multiLvlStrCache>
            </c:multiLvlStrRef>
          </c:cat>
          <c:val>
            <c:numRef>
              <c:f>'Financial Model'!$H$4</c:f>
              <c:numCache>
                <c:formatCode>\₹#,##0;"(₹"#,##0\);\-</c:formatCode>
                <c:ptCount val="1"/>
                <c:pt idx="0">
                  <c:v>39258716.6626619</c:v>
                </c:pt>
              </c:numCache>
            </c:numRef>
          </c:val>
        </c:ser>
        <c:ser>
          <c:idx val="7"/>
          <c:order val="7"/>
          <c:spPr>
            <a:solidFill>
              <a:srgbClr val="9a403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Model'!$B$3:$M$3</c:f>
              <c:multiLvlStrCache>
                <c:ptCount val="1"/>
                <c:lvl>
                  <c:pt idx="0">
                    <c:v>Dec-2026</c:v>
                  </c:pt>
                </c:lvl>
                <c:lvl>
                  <c:pt idx="0">
                    <c:v>Nov-2026</c:v>
                  </c:pt>
                </c:lvl>
                <c:lvl>
                  <c:pt idx="0">
                    <c:v>Oct-2026</c:v>
                  </c:pt>
                </c:lvl>
                <c:lvl>
                  <c:pt idx="0">
                    <c:v>Sep-2026</c:v>
                  </c:pt>
                </c:lvl>
                <c:lvl>
                  <c:pt idx="0">
                    <c:v>Aug-2026</c:v>
                  </c:pt>
                </c:lvl>
                <c:lvl>
                  <c:pt idx="0">
                    <c:v>Jul-2026</c:v>
                  </c:pt>
                </c:lvl>
                <c:lvl>
                  <c:pt idx="0">
                    <c:v>Jun-2026</c:v>
                  </c:pt>
                </c:lvl>
                <c:lvl>
                  <c:pt idx="0">
                    <c:v>May-2026</c:v>
                  </c:pt>
                </c:lvl>
                <c:lvl>
                  <c:pt idx="0">
                    <c:v>Apr-2026</c:v>
                  </c:pt>
                </c:lvl>
                <c:lvl>
                  <c:pt idx="0">
                    <c:v>Mar-2026</c:v>
                  </c:pt>
                </c:lvl>
                <c:lvl>
                  <c:pt idx="0">
                    <c:v>Feb-2026</c:v>
                  </c:pt>
                </c:lvl>
                <c:lvl>
                  <c:pt idx="0">
                    <c:v>Jan-2026</c:v>
                  </c:pt>
                </c:lvl>
              </c:multiLvlStrCache>
            </c:multiLvlStrRef>
          </c:cat>
          <c:val>
            <c:numRef>
              <c:f>'Financial Model'!$I$4</c:f>
              <c:numCache>
                <c:formatCode>\₹#,##0;"(₹"#,##0\);\-</c:formatCode>
                <c:ptCount val="1"/>
                <c:pt idx="0">
                  <c:v>40043890.9959152</c:v>
                </c:pt>
              </c:numCache>
            </c:numRef>
          </c:val>
        </c:ser>
        <c:ser>
          <c:idx val="8"/>
          <c:order val="8"/>
          <c:spPr>
            <a:solidFill>
              <a:srgbClr val="9e413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Model'!$B$3:$M$3</c:f>
              <c:multiLvlStrCache>
                <c:ptCount val="1"/>
                <c:lvl>
                  <c:pt idx="0">
                    <c:v>Dec-2026</c:v>
                  </c:pt>
                </c:lvl>
                <c:lvl>
                  <c:pt idx="0">
                    <c:v>Nov-2026</c:v>
                  </c:pt>
                </c:lvl>
                <c:lvl>
                  <c:pt idx="0">
                    <c:v>Oct-2026</c:v>
                  </c:pt>
                </c:lvl>
                <c:lvl>
                  <c:pt idx="0">
                    <c:v>Sep-2026</c:v>
                  </c:pt>
                </c:lvl>
                <c:lvl>
                  <c:pt idx="0">
                    <c:v>Aug-2026</c:v>
                  </c:pt>
                </c:lvl>
                <c:lvl>
                  <c:pt idx="0">
                    <c:v>Jul-2026</c:v>
                  </c:pt>
                </c:lvl>
                <c:lvl>
                  <c:pt idx="0">
                    <c:v>Jun-2026</c:v>
                  </c:pt>
                </c:lvl>
                <c:lvl>
                  <c:pt idx="0">
                    <c:v>May-2026</c:v>
                  </c:pt>
                </c:lvl>
                <c:lvl>
                  <c:pt idx="0">
                    <c:v>Apr-2026</c:v>
                  </c:pt>
                </c:lvl>
                <c:lvl>
                  <c:pt idx="0">
                    <c:v>Mar-2026</c:v>
                  </c:pt>
                </c:lvl>
                <c:lvl>
                  <c:pt idx="0">
                    <c:v>Feb-2026</c:v>
                  </c:pt>
                </c:lvl>
                <c:lvl>
                  <c:pt idx="0">
                    <c:v>Jan-2026</c:v>
                  </c:pt>
                </c:lvl>
              </c:multiLvlStrCache>
            </c:multiLvlStrRef>
          </c:cat>
          <c:val>
            <c:numRef>
              <c:f>'Financial Model'!$J$4</c:f>
              <c:numCache>
                <c:formatCode>\₹#,##0;"(₹"#,##0\);\-</c:formatCode>
                <c:ptCount val="1"/>
                <c:pt idx="0">
                  <c:v>40844768.8158335</c:v>
                </c:pt>
              </c:numCache>
            </c:numRef>
          </c:val>
        </c:ser>
        <c:ser>
          <c:idx val="9"/>
          <c:order val="9"/>
          <c:spPr>
            <a:solidFill>
              <a:srgbClr val="a2434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Model'!$B$3:$M$3</c:f>
              <c:multiLvlStrCache>
                <c:ptCount val="1"/>
                <c:lvl>
                  <c:pt idx="0">
                    <c:v>Dec-2026</c:v>
                  </c:pt>
                </c:lvl>
                <c:lvl>
                  <c:pt idx="0">
                    <c:v>Nov-2026</c:v>
                  </c:pt>
                </c:lvl>
                <c:lvl>
                  <c:pt idx="0">
                    <c:v>Oct-2026</c:v>
                  </c:pt>
                </c:lvl>
                <c:lvl>
                  <c:pt idx="0">
                    <c:v>Sep-2026</c:v>
                  </c:pt>
                </c:lvl>
                <c:lvl>
                  <c:pt idx="0">
                    <c:v>Aug-2026</c:v>
                  </c:pt>
                </c:lvl>
                <c:lvl>
                  <c:pt idx="0">
                    <c:v>Jul-2026</c:v>
                  </c:pt>
                </c:lvl>
                <c:lvl>
                  <c:pt idx="0">
                    <c:v>Jun-2026</c:v>
                  </c:pt>
                </c:lvl>
                <c:lvl>
                  <c:pt idx="0">
                    <c:v>May-2026</c:v>
                  </c:pt>
                </c:lvl>
                <c:lvl>
                  <c:pt idx="0">
                    <c:v>Apr-2026</c:v>
                  </c:pt>
                </c:lvl>
                <c:lvl>
                  <c:pt idx="0">
                    <c:v>Mar-2026</c:v>
                  </c:pt>
                </c:lvl>
                <c:lvl>
                  <c:pt idx="0">
                    <c:v>Feb-2026</c:v>
                  </c:pt>
                </c:lvl>
                <c:lvl>
                  <c:pt idx="0">
                    <c:v>Jan-2026</c:v>
                  </c:pt>
                </c:lvl>
              </c:multiLvlStrCache>
            </c:multiLvlStrRef>
          </c:cat>
          <c:val>
            <c:numRef>
              <c:f>'Financial Model'!$K$4</c:f>
              <c:numCache>
                <c:formatCode>\₹#,##0;"(₹"#,##0\);\-</c:formatCode>
                <c:ptCount val="1"/>
                <c:pt idx="0">
                  <c:v>41661664.1921501</c:v>
                </c:pt>
              </c:numCache>
            </c:numRef>
          </c:val>
        </c:ser>
        <c:ser>
          <c:idx val="10"/>
          <c:order val="10"/>
          <c:spPr>
            <a:solidFill>
              <a:srgbClr val="a6454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Model'!$B$3:$M$3</c:f>
              <c:multiLvlStrCache>
                <c:ptCount val="1"/>
                <c:lvl>
                  <c:pt idx="0">
                    <c:v>Dec-2026</c:v>
                  </c:pt>
                </c:lvl>
                <c:lvl>
                  <c:pt idx="0">
                    <c:v>Nov-2026</c:v>
                  </c:pt>
                </c:lvl>
                <c:lvl>
                  <c:pt idx="0">
                    <c:v>Oct-2026</c:v>
                  </c:pt>
                </c:lvl>
                <c:lvl>
                  <c:pt idx="0">
                    <c:v>Sep-2026</c:v>
                  </c:pt>
                </c:lvl>
                <c:lvl>
                  <c:pt idx="0">
                    <c:v>Aug-2026</c:v>
                  </c:pt>
                </c:lvl>
                <c:lvl>
                  <c:pt idx="0">
                    <c:v>Jul-2026</c:v>
                  </c:pt>
                </c:lvl>
                <c:lvl>
                  <c:pt idx="0">
                    <c:v>Jun-2026</c:v>
                  </c:pt>
                </c:lvl>
                <c:lvl>
                  <c:pt idx="0">
                    <c:v>May-2026</c:v>
                  </c:pt>
                </c:lvl>
                <c:lvl>
                  <c:pt idx="0">
                    <c:v>Apr-2026</c:v>
                  </c:pt>
                </c:lvl>
                <c:lvl>
                  <c:pt idx="0">
                    <c:v>Mar-2026</c:v>
                  </c:pt>
                </c:lvl>
                <c:lvl>
                  <c:pt idx="0">
                    <c:v>Feb-2026</c:v>
                  </c:pt>
                </c:lvl>
                <c:lvl>
                  <c:pt idx="0">
                    <c:v>Jan-2026</c:v>
                  </c:pt>
                </c:lvl>
              </c:multiLvlStrCache>
            </c:multiLvlStrRef>
          </c:cat>
          <c:val>
            <c:numRef>
              <c:f>'Financial Model'!$L$4</c:f>
              <c:numCache>
                <c:formatCode>\₹#,##0;"(₹"#,##0\);\-</c:formatCode>
                <c:ptCount val="1"/>
                <c:pt idx="0">
                  <c:v>48869132.0973921</c:v>
                </c:pt>
              </c:numCache>
            </c:numRef>
          </c:val>
        </c:ser>
        <c:ser>
          <c:idx val="11"/>
          <c:order val="11"/>
          <c:spPr>
            <a:solidFill>
              <a:srgbClr val="a946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Model'!$B$3:$M$3</c:f>
              <c:multiLvlStrCache>
                <c:ptCount val="1"/>
                <c:lvl>
                  <c:pt idx="0">
                    <c:v>Dec-2026</c:v>
                  </c:pt>
                </c:lvl>
                <c:lvl>
                  <c:pt idx="0">
                    <c:v>Nov-2026</c:v>
                  </c:pt>
                </c:lvl>
                <c:lvl>
                  <c:pt idx="0">
                    <c:v>Oct-2026</c:v>
                  </c:pt>
                </c:lvl>
                <c:lvl>
                  <c:pt idx="0">
                    <c:v>Sep-2026</c:v>
                  </c:pt>
                </c:lvl>
                <c:lvl>
                  <c:pt idx="0">
                    <c:v>Aug-2026</c:v>
                  </c:pt>
                </c:lvl>
                <c:lvl>
                  <c:pt idx="0">
                    <c:v>Jul-2026</c:v>
                  </c:pt>
                </c:lvl>
                <c:lvl>
                  <c:pt idx="0">
                    <c:v>Jun-2026</c:v>
                  </c:pt>
                </c:lvl>
                <c:lvl>
                  <c:pt idx="0">
                    <c:v>May-2026</c:v>
                  </c:pt>
                </c:lvl>
                <c:lvl>
                  <c:pt idx="0">
                    <c:v>Apr-2026</c:v>
                  </c:pt>
                </c:lvl>
                <c:lvl>
                  <c:pt idx="0">
                    <c:v>Mar-2026</c:v>
                  </c:pt>
                </c:lvl>
                <c:lvl>
                  <c:pt idx="0">
                    <c:v>Feb-2026</c:v>
                  </c:pt>
                </c:lvl>
                <c:lvl>
                  <c:pt idx="0">
                    <c:v>Jan-2026</c:v>
                  </c:pt>
                </c:lvl>
              </c:multiLvlStrCache>
            </c:multiLvlStrRef>
          </c:cat>
          <c:val>
            <c:numRef>
              <c:f>'Financial Model'!$M$4</c:f>
              <c:numCache>
                <c:formatCode>\₹#,##0;"(₹"#,##0\);\-</c:formatCode>
                <c:ptCount val="1"/>
                <c:pt idx="0">
                  <c:v>57323491.950241</c:v>
                </c:pt>
              </c:numCache>
            </c:numRef>
          </c:val>
        </c:ser>
        <c:ser>
          <c:idx val="12"/>
          <c:order val="12"/>
          <c:spPr>
            <a:solidFill>
              <a:srgbClr val="ad484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Model'!$B$3:$M$3</c:f>
              <c:multiLvlStrCache>
                <c:ptCount val="1"/>
                <c:lvl>
                  <c:pt idx="0">
                    <c:v>Dec-2026</c:v>
                  </c:pt>
                </c:lvl>
                <c:lvl>
                  <c:pt idx="0">
                    <c:v>Nov-2026</c:v>
                  </c:pt>
                </c:lvl>
                <c:lvl>
                  <c:pt idx="0">
                    <c:v>Oct-2026</c:v>
                  </c:pt>
                </c:lvl>
                <c:lvl>
                  <c:pt idx="0">
                    <c:v>Sep-2026</c:v>
                  </c:pt>
                </c:lvl>
                <c:lvl>
                  <c:pt idx="0">
                    <c:v>Aug-2026</c:v>
                  </c:pt>
                </c:lvl>
                <c:lvl>
                  <c:pt idx="0">
                    <c:v>Jul-2026</c:v>
                  </c:pt>
                </c:lvl>
                <c:lvl>
                  <c:pt idx="0">
                    <c:v>Jun-2026</c:v>
                  </c:pt>
                </c:lvl>
                <c:lvl>
                  <c:pt idx="0">
                    <c:v>May-2026</c:v>
                  </c:pt>
                </c:lvl>
                <c:lvl>
                  <c:pt idx="0">
                    <c:v>Apr-2026</c:v>
                  </c:pt>
                </c:lvl>
                <c:lvl>
                  <c:pt idx="0">
                    <c:v>Mar-2026</c:v>
                  </c:pt>
                </c:lvl>
                <c:lvl>
                  <c:pt idx="0">
                    <c:v>Feb-2026</c:v>
                  </c:pt>
                </c:lvl>
                <c:lvl>
                  <c:pt idx="0">
                    <c:v>Jan-2026</c:v>
                  </c:pt>
                </c:lvl>
              </c:multiLvlStrCache>
            </c:multiLvlStrRef>
          </c:cat>
          <c:val>
            <c:numRef>
              <c:f>'Financial Model'!$B$9</c:f>
              <c:numCache>
                <c:formatCode>\₹#,##0;"(₹"#,##0\);\-</c:formatCode>
                <c:ptCount val="1"/>
                <c:pt idx="0">
                  <c:v>9238063.477917</c:v>
                </c:pt>
              </c:numCache>
            </c:numRef>
          </c:val>
        </c:ser>
        <c:ser>
          <c:idx val="13"/>
          <c:order val="13"/>
          <c:spPr>
            <a:solidFill>
              <a:srgbClr val="b1494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Model'!$B$3:$M$3</c:f>
              <c:multiLvlStrCache>
                <c:ptCount val="1"/>
                <c:lvl>
                  <c:pt idx="0">
                    <c:v>Dec-2026</c:v>
                  </c:pt>
                </c:lvl>
                <c:lvl>
                  <c:pt idx="0">
                    <c:v>Nov-2026</c:v>
                  </c:pt>
                </c:lvl>
                <c:lvl>
                  <c:pt idx="0">
                    <c:v>Oct-2026</c:v>
                  </c:pt>
                </c:lvl>
                <c:lvl>
                  <c:pt idx="0">
                    <c:v>Sep-2026</c:v>
                  </c:pt>
                </c:lvl>
                <c:lvl>
                  <c:pt idx="0">
                    <c:v>Aug-2026</c:v>
                  </c:pt>
                </c:lvl>
                <c:lvl>
                  <c:pt idx="0">
                    <c:v>Jul-2026</c:v>
                  </c:pt>
                </c:lvl>
                <c:lvl>
                  <c:pt idx="0">
                    <c:v>Jun-2026</c:v>
                  </c:pt>
                </c:lvl>
                <c:lvl>
                  <c:pt idx="0">
                    <c:v>May-2026</c:v>
                  </c:pt>
                </c:lvl>
                <c:lvl>
                  <c:pt idx="0">
                    <c:v>Apr-2026</c:v>
                  </c:pt>
                </c:lvl>
                <c:lvl>
                  <c:pt idx="0">
                    <c:v>Mar-2026</c:v>
                  </c:pt>
                </c:lvl>
                <c:lvl>
                  <c:pt idx="0">
                    <c:v>Feb-2026</c:v>
                  </c:pt>
                </c:lvl>
                <c:lvl>
                  <c:pt idx="0">
                    <c:v>Jan-2026</c:v>
                  </c:pt>
                </c:lvl>
              </c:multiLvlStrCache>
            </c:multiLvlStrRef>
          </c:cat>
          <c:val>
            <c:numRef>
              <c:f>'Financial Model'!$C$9</c:f>
              <c:numCache>
                <c:formatCode>\₹#,##0;"(₹"#,##0\);\-</c:formatCode>
                <c:ptCount val="1"/>
                <c:pt idx="0">
                  <c:v>9422824.74747534</c:v>
                </c:pt>
              </c:numCache>
            </c:numRef>
          </c:val>
        </c:ser>
        <c:ser>
          <c:idx val="14"/>
          <c:order val="14"/>
          <c:spPr>
            <a:solidFill>
              <a:srgbClr val="b44b4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Model'!$B$3:$M$3</c:f>
              <c:multiLvlStrCache>
                <c:ptCount val="1"/>
                <c:lvl>
                  <c:pt idx="0">
                    <c:v>Dec-2026</c:v>
                  </c:pt>
                </c:lvl>
                <c:lvl>
                  <c:pt idx="0">
                    <c:v>Nov-2026</c:v>
                  </c:pt>
                </c:lvl>
                <c:lvl>
                  <c:pt idx="0">
                    <c:v>Oct-2026</c:v>
                  </c:pt>
                </c:lvl>
                <c:lvl>
                  <c:pt idx="0">
                    <c:v>Sep-2026</c:v>
                  </c:pt>
                </c:lvl>
                <c:lvl>
                  <c:pt idx="0">
                    <c:v>Aug-2026</c:v>
                  </c:pt>
                </c:lvl>
                <c:lvl>
                  <c:pt idx="0">
                    <c:v>Jul-2026</c:v>
                  </c:pt>
                </c:lvl>
                <c:lvl>
                  <c:pt idx="0">
                    <c:v>Jun-2026</c:v>
                  </c:pt>
                </c:lvl>
                <c:lvl>
                  <c:pt idx="0">
                    <c:v>May-2026</c:v>
                  </c:pt>
                </c:lvl>
                <c:lvl>
                  <c:pt idx="0">
                    <c:v>Apr-2026</c:v>
                  </c:pt>
                </c:lvl>
                <c:lvl>
                  <c:pt idx="0">
                    <c:v>Mar-2026</c:v>
                  </c:pt>
                </c:lvl>
                <c:lvl>
                  <c:pt idx="0">
                    <c:v>Feb-2026</c:v>
                  </c:pt>
                </c:lvl>
                <c:lvl>
                  <c:pt idx="0">
                    <c:v>Jan-2026</c:v>
                  </c:pt>
                </c:lvl>
              </c:multiLvlStrCache>
            </c:multiLvlStrRef>
          </c:cat>
          <c:val>
            <c:numRef>
              <c:f>'Financial Model'!$D$9</c:f>
              <c:numCache>
                <c:formatCode>\₹#,##0;"(₹"#,##0\);\-</c:formatCode>
                <c:ptCount val="1"/>
                <c:pt idx="0">
                  <c:v>9611281.24242484</c:v>
                </c:pt>
              </c:numCache>
            </c:numRef>
          </c:val>
        </c:ser>
        <c:ser>
          <c:idx val="15"/>
          <c:order val="15"/>
          <c:spPr>
            <a:solidFill>
              <a:srgbClr val="b74c4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Model'!$B$3:$M$3</c:f>
              <c:multiLvlStrCache>
                <c:ptCount val="1"/>
                <c:lvl>
                  <c:pt idx="0">
                    <c:v>Dec-2026</c:v>
                  </c:pt>
                </c:lvl>
                <c:lvl>
                  <c:pt idx="0">
                    <c:v>Nov-2026</c:v>
                  </c:pt>
                </c:lvl>
                <c:lvl>
                  <c:pt idx="0">
                    <c:v>Oct-2026</c:v>
                  </c:pt>
                </c:lvl>
                <c:lvl>
                  <c:pt idx="0">
                    <c:v>Sep-2026</c:v>
                  </c:pt>
                </c:lvl>
                <c:lvl>
                  <c:pt idx="0">
                    <c:v>Aug-2026</c:v>
                  </c:pt>
                </c:lvl>
                <c:lvl>
                  <c:pt idx="0">
                    <c:v>Jul-2026</c:v>
                  </c:pt>
                </c:lvl>
                <c:lvl>
                  <c:pt idx="0">
                    <c:v>Jun-2026</c:v>
                  </c:pt>
                </c:lvl>
                <c:lvl>
                  <c:pt idx="0">
                    <c:v>May-2026</c:v>
                  </c:pt>
                </c:lvl>
                <c:lvl>
                  <c:pt idx="0">
                    <c:v>Apr-2026</c:v>
                  </c:pt>
                </c:lvl>
                <c:lvl>
                  <c:pt idx="0">
                    <c:v>Mar-2026</c:v>
                  </c:pt>
                </c:lvl>
                <c:lvl>
                  <c:pt idx="0">
                    <c:v>Feb-2026</c:v>
                  </c:pt>
                </c:lvl>
                <c:lvl>
                  <c:pt idx="0">
                    <c:v>Jan-2026</c:v>
                  </c:pt>
                </c:lvl>
              </c:multiLvlStrCache>
            </c:multiLvlStrRef>
          </c:cat>
          <c:val>
            <c:numRef>
              <c:f>'Financial Model'!$E$9</c:f>
              <c:numCache>
                <c:formatCode>\₹#,##0;"(₹"#,##0\);\-</c:formatCode>
                <c:ptCount val="1"/>
                <c:pt idx="0">
                  <c:v>9803506.86727334</c:v>
                </c:pt>
              </c:numCache>
            </c:numRef>
          </c:val>
        </c:ser>
        <c:ser>
          <c:idx val="16"/>
          <c:order val="16"/>
          <c:spPr>
            <a:solidFill>
              <a:srgbClr val="bb4d4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Model'!$B$3:$M$3</c:f>
              <c:multiLvlStrCache>
                <c:ptCount val="1"/>
                <c:lvl>
                  <c:pt idx="0">
                    <c:v>Dec-2026</c:v>
                  </c:pt>
                </c:lvl>
                <c:lvl>
                  <c:pt idx="0">
                    <c:v>Nov-2026</c:v>
                  </c:pt>
                </c:lvl>
                <c:lvl>
                  <c:pt idx="0">
                    <c:v>Oct-2026</c:v>
                  </c:pt>
                </c:lvl>
                <c:lvl>
                  <c:pt idx="0">
                    <c:v>Sep-2026</c:v>
                  </c:pt>
                </c:lvl>
                <c:lvl>
                  <c:pt idx="0">
                    <c:v>Aug-2026</c:v>
                  </c:pt>
                </c:lvl>
                <c:lvl>
                  <c:pt idx="0">
                    <c:v>Jul-2026</c:v>
                  </c:pt>
                </c:lvl>
                <c:lvl>
                  <c:pt idx="0">
                    <c:v>Jun-2026</c:v>
                  </c:pt>
                </c:lvl>
                <c:lvl>
                  <c:pt idx="0">
                    <c:v>May-2026</c:v>
                  </c:pt>
                </c:lvl>
                <c:lvl>
                  <c:pt idx="0">
                    <c:v>Apr-2026</c:v>
                  </c:pt>
                </c:lvl>
                <c:lvl>
                  <c:pt idx="0">
                    <c:v>Mar-2026</c:v>
                  </c:pt>
                </c:lvl>
                <c:lvl>
                  <c:pt idx="0">
                    <c:v>Feb-2026</c:v>
                  </c:pt>
                </c:lvl>
                <c:lvl>
                  <c:pt idx="0">
                    <c:v>Jan-2026</c:v>
                  </c:pt>
                </c:lvl>
              </c:multiLvlStrCache>
            </c:multiLvlStrRef>
          </c:cat>
          <c:val>
            <c:numRef>
              <c:f>'Financial Model'!$F$9</c:f>
              <c:numCache>
                <c:formatCode>\₹#,##0;"(₹"#,##0\);\-</c:formatCode>
                <c:ptCount val="1"/>
                <c:pt idx="0">
                  <c:v>9999577.00461881</c:v>
                </c:pt>
              </c:numCache>
            </c:numRef>
          </c:val>
        </c:ser>
        <c:ser>
          <c:idx val="17"/>
          <c:order val="17"/>
          <c:spPr>
            <a:solidFill>
              <a:srgbClr val="be4f4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Model'!$B$3:$M$3</c:f>
              <c:multiLvlStrCache>
                <c:ptCount val="1"/>
                <c:lvl>
                  <c:pt idx="0">
                    <c:v>Dec-2026</c:v>
                  </c:pt>
                </c:lvl>
                <c:lvl>
                  <c:pt idx="0">
                    <c:v>Nov-2026</c:v>
                  </c:pt>
                </c:lvl>
                <c:lvl>
                  <c:pt idx="0">
                    <c:v>Oct-2026</c:v>
                  </c:pt>
                </c:lvl>
                <c:lvl>
                  <c:pt idx="0">
                    <c:v>Sep-2026</c:v>
                  </c:pt>
                </c:lvl>
                <c:lvl>
                  <c:pt idx="0">
                    <c:v>Aug-2026</c:v>
                  </c:pt>
                </c:lvl>
                <c:lvl>
                  <c:pt idx="0">
                    <c:v>Jul-2026</c:v>
                  </c:pt>
                </c:lvl>
                <c:lvl>
                  <c:pt idx="0">
                    <c:v>Jun-2026</c:v>
                  </c:pt>
                </c:lvl>
                <c:lvl>
                  <c:pt idx="0">
                    <c:v>May-2026</c:v>
                  </c:pt>
                </c:lvl>
                <c:lvl>
                  <c:pt idx="0">
                    <c:v>Apr-2026</c:v>
                  </c:pt>
                </c:lvl>
                <c:lvl>
                  <c:pt idx="0">
                    <c:v>Mar-2026</c:v>
                  </c:pt>
                </c:lvl>
                <c:lvl>
                  <c:pt idx="0">
                    <c:v>Feb-2026</c:v>
                  </c:pt>
                </c:lvl>
                <c:lvl>
                  <c:pt idx="0">
                    <c:v>Jan-2026</c:v>
                  </c:pt>
                </c:lvl>
              </c:multiLvlStrCache>
            </c:multiLvlStrRef>
          </c:cat>
          <c:val>
            <c:numRef>
              <c:f>'Financial Model'!$G$9</c:f>
              <c:numCache>
                <c:formatCode>\₹#,##0;"(₹"#,##0\);\-</c:formatCode>
                <c:ptCount val="1"/>
                <c:pt idx="0">
                  <c:v>10199568.5447112</c:v>
                </c:pt>
              </c:numCache>
            </c:numRef>
          </c:val>
        </c:ser>
        <c:ser>
          <c:idx val="18"/>
          <c:order val="18"/>
          <c:spPr>
            <a:solidFill>
              <a:srgbClr val="c1585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Model'!$B$3:$M$3</c:f>
              <c:multiLvlStrCache>
                <c:ptCount val="1"/>
                <c:lvl>
                  <c:pt idx="0">
                    <c:v>Dec-2026</c:v>
                  </c:pt>
                </c:lvl>
                <c:lvl>
                  <c:pt idx="0">
                    <c:v>Nov-2026</c:v>
                  </c:pt>
                </c:lvl>
                <c:lvl>
                  <c:pt idx="0">
                    <c:v>Oct-2026</c:v>
                  </c:pt>
                </c:lvl>
                <c:lvl>
                  <c:pt idx="0">
                    <c:v>Sep-2026</c:v>
                  </c:pt>
                </c:lvl>
                <c:lvl>
                  <c:pt idx="0">
                    <c:v>Aug-2026</c:v>
                  </c:pt>
                </c:lvl>
                <c:lvl>
                  <c:pt idx="0">
                    <c:v>Jul-2026</c:v>
                  </c:pt>
                </c:lvl>
                <c:lvl>
                  <c:pt idx="0">
                    <c:v>Jun-2026</c:v>
                  </c:pt>
                </c:lvl>
                <c:lvl>
                  <c:pt idx="0">
                    <c:v>May-2026</c:v>
                  </c:pt>
                </c:lvl>
                <c:lvl>
                  <c:pt idx="0">
                    <c:v>Apr-2026</c:v>
                  </c:pt>
                </c:lvl>
                <c:lvl>
                  <c:pt idx="0">
                    <c:v>Mar-2026</c:v>
                  </c:pt>
                </c:lvl>
                <c:lvl>
                  <c:pt idx="0">
                    <c:v>Feb-2026</c:v>
                  </c:pt>
                </c:lvl>
                <c:lvl>
                  <c:pt idx="0">
                    <c:v>Jan-2026</c:v>
                  </c:pt>
                </c:lvl>
              </c:multiLvlStrCache>
            </c:multiLvlStrRef>
          </c:cat>
          <c:val>
            <c:numRef>
              <c:f>'Financial Model'!$H$9</c:f>
              <c:numCache>
                <c:formatCode>\₹#,##0;"(₹"#,##0\);\-</c:formatCode>
                <c:ptCount val="1"/>
                <c:pt idx="0">
                  <c:v>10403559.9156054</c:v>
                </c:pt>
              </c:numCache>
            </c:numRef>
          </c:val>
        </c:ser>
        <c:ser>
          <c:idx val="19"/>
          <c:order val="19"/>
          <c:spPr>
            <a:solidFill>
              <a:srgbClr val="c466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Model'!$B$3:$M$3</c:f>
              <c:multiLvlStrCache>
                <c:ptCount val="1"/>
                <c:lvl>
                  <c:pt idx="0">
                    <c:v>Dec-2026</c:v>
                  </c:pt>
                </c:lvl>
                <c:lvl>
                  <c:pt idx="0">
                    <c:v>Nov-2026</c:v>
                  </c:pt>
                </c:lvl>
                <c:lvl>
                  <c:pt idx="0">
                    <c:v>Oct-2026</c:v>
                  </c:pt>
                </c:lvl>
                <c:lvl>
                  <c:pt idx="0">
                    <c:v>Sep-2026</c:v>
                  </c:pt>
                </c:lvl>
                <c:lvl>
                  <c:pt idx="0">
                    <c:v>Aug-2026</c:v>
                  </c:pt>
                </c:lvl>
                <c:lvl>
                  <c:pt idx="0">
                    <c:v>Jul-2026</c:v>
                  </c:pt>
                </c:lvl>
                <c:lvl>
                  <c:pt idx="0">
                    <c:v>Jun-2026</c:v>
                  </c:pt>
                </c:lvl>
                <c:lvl>
                  <c:pt idx="0">
                    <c:v>May-2026</c:v>
                  </c:pt>
                </c:lvl>
                <c:lvl>
                  <c:pt idx="0">
                    <c:v>Apr-2026</c:v>
                  </c:pt>
                </c:lvl>
                <c:lvl>
                  <c:pt idx="0">
                    <c:v>Mar-2026</c:v>
                  </c:pt>
                </c:lvl>
                <c:lvl>
                  <c:pt idx="0">
                    <c:v>Feb-2026</c:v>
                  </c:pt>
                </c:lvl>
                <c:lvl>
                  <c:pt idx="0">
                    <c:v>Jan-2026</c:v>
                  </c:pt>
                </c:lvl>
              </c:multiLvlStrCache>
            </c:multiLvlStrRef>
          </c:cat>
          <c:val>
            <c:numRef>
              <c:f>'Financial Model'!$I$9</c:f>
              <c:numCache>
                <c:formatCode>\₹#,##0;"(₹"#,##0\);\-</c:formatCode>
                <c:ptCount val="1"/>
                <c:pt idx="0">
                  <c:v>10611631.1139175</c:v>
                </c:pt>
              </c:numCache>
            </c:numRef>
          </c:val>
        </c:ser>
        <c:ser>
          <c:idx val="20"/>
          <c:order val="20"/>
          <c:spPr>
            <a:solidFill>
              <a:srgbClr val="c7727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Model'!$B$3:$M$3</c:f>
              <c:multiLvlStrCache>
                <c:ptCount val="1"/>
                <c:lvl>
                  <c:pt idx="0">
                    <c:v>Dec-2026</c:v>
                  </c:pt>
                </c:lvl>
                <c:lvl>
                  <c:pt idx="0">
                    <c:v>Nov-2026</c:v>
                  </c:pt>
                </c:lvl>
                <c:lvl>
                  <c:pt idx="0">
                    <c:v>Oct-2026</c:v>
                  </c:pt>
                </c:lvl>
                <c:lvl>
                  <c:pt idx="0">
                    <c:v>Sep-2026</c:v>
                  </c:pt>
                </c:lvl>
                <c:lvl>
                  <c:pt idx="0">
                    <c:v>Aug-2026</c:v>
                  </c:pt>
                </c:lvl>
                <c:lvl>
                  <c:pt idx="0">
                    <c:v>Jul-2026</c:v>
                  </c:pt>
                </c:lvl>
                <c:lvl>
                  <c:pt idx="0">
                    <c:v>Jun-2026</c:v>
                  </c:pt>
                </c:lvl>
                <c:lvl>
                  <c:pt idx="0">
                    <c:v>May-2026</c:v>
                  </c:pt>
                </c:lvl>
                <c:lvl>
                  <c:pt idx="0">
                    <c:v>Apr-2026</c:v>
                  </c:pt>
                </c:lvl>
                <c:lvl>
                  <c:pt idx="0">
                    <c:v>Mar-2026</c:v>
                  </c:pt>
                </c:lvl>
                <c:lvl>
                  <c:pt idx="0">
                    <c:v>Feb-2026</c:v>
                  </c:pt>
                </c:lvl>
                <c:lvl>
                  <c:pt idx="0">
                    <c:v>Jan-2026</c:v>
                  </c:pt>
                </c:lvl>
              </c:multiLvlStrCache>
            </c:multiLvlStrRef>
          </c:cat>
          <c:val>
            <c:numRef>
              <c:f>'Financial Model'!$J$9</c:f>
              <c:numCache>
                <c:formatCode>\₹#,##0;"(₹"#,##0\);\-</c:formatCode>
                <c:ptCount val="1"/>
                <c:pt idx="0">
                  <c:v>10823863.7361959</c:v>
                </c:pt>
              </c:numCache>
            </c:numRef>
          </c:val>
        </c:ser>
        <c:ser>
          <c:idx val="21"/>
          <c:order val="21"/>
          <c:spPr>
            <a:solidFill>
              <a:srgbClr val="c97c7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Model'!$B$3:$M$3</c:f>
              <c:multiLvlStrCache>
                <c:ptCount val="1"/>
                <c:lvl>
                  <c:pt idx="0">
                    <c:v>Dec-2026</c:v>
                  </c:pt>
                </c:lvl>
                <c:lvl>
                  <c:pt idx="0">
                    <c:v>Nov-2026</c:v>
                  </c:pt>
                </c:lvl>
                <c:lvl>
                  <c:pt idx="0">
                    <c:v>Oct-2026</c:v>
                  </c:pt>
                </c:lvl>
                <c:lvl>
                  <c:pt idx="0">
                    <c:v>Sep-2026</c:v>
                  </c:pt>
                </c:lvl>
                <c:lvl>
                  <c:pt idx="0">
                    <c:v>Aug-2026</c:v>
                  </c:pt>
                </c:lvl>
                <c:lvl>
                  <c:pt idx="0">
                    <c:v>Jul-2026</c:v>
                  </c:pt>
                </c:lvl>
                <c:lvl>
                  <c:pt idx="0">
                    <c:v>Jun-2026</c:v>
                  </c:pt>
                </c:lvl>
                <c:lvl>
                  <c:pt idx="0">
                    <c:v>May-2026</c:v>
                  </c:pt>
                </c:lvl>
                <c:lvl>
                  <c:pt idx="0">
                    <c:v>Apr-2026</c:v>
                  </c:pt>
                </c:lvl>
                <c:lvl>
                  <c:pt idx="0">
                    <c:v>Mar-2026</c:v>
                  </c:pt>
                </c:lvl>
                <c:lvl>
                  <c:pt idx="0">
                    <c:v>Feb-2026</c:v>
                  </c:pt>
                </c:lvl>
                <c:lvl>
                  <c:pt idx="0">
                    <c:v>Jan-2026</c:v>
                  </c:pt>
                </c:lvl>
              </c:multiLvlStrCache>
            </c:multiLvlStrRef>
          </c:cat>
          <c:val>
            <c:numRef>
              <c:f>'Financial Model'!$K$9</c:f>
              <c:numCache>
                <c:formatCode>\₹#,##0;"(₹"#,##0\);\-</c:formatCode>
                <c:ptCount val="1"/>
                <c:pt idx="0">
                  <c:v>11040341.0109198</c:v>
                </c:pt>
              </c:numCache>
            </c:numRef>
          </c:val>
        </c:ser>
        <c:ser>
          <c:idx val="22"/>
          <c:order val="22"/>
          <c:spPr>
            <a:solidFill>
              <a:srgbClr val="cc868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Model'!$B$3:$M$3</c:f>
              <c:multiLvlStrCache>
                <c:ptCount val="1"/>
                <c:lvl>
                  <c:pt idx="0">
                    <c:v>Dec-2026</c:v>
                  </c:pt>
                </c:lvl>
                <c:lvl>
                  <c:pt idx="0">
                    <c:v>Nov-2026</c:v>
                  </c:pt>
                </c:lvl>
                <c:lvl>
                  <c:pt idx="0">
                    <c:v>Oct-2026</c:v>
                  </c:pt>
                </c:lvl>
                <c:lvl>
                  <c:pt idx="0">
                    <c:v>Sep-2026</c:v>
                  </c:pt>
                </c:lvl>
                <c:lvl>
                  <c:pt idx="0">
                    <c:v>Aug-2026</c:v>
                  </c:pt>
                </c:lvl>
                <c:lvl>
                  <c:pt idx="0">
                    <c:v>Jul-2026</c:v>
                  </c:pt>
                </c:lvl>
                <c:lvl>
                  <c:pt idx="0">
                    <c:v>Jun-2026</c:v>
                  </c:pt>
                </c:lvl>
                <c:lvl>
                  <c:pt idx="0">
                    <c:v>May-2026</c:v>
                  </c:pt>
                </c:lvl>
                <c:lvl>
                  <c:pt idx="0">
                    <c:v>Apr-2026</c:v>
                  </c:pt>
                </c:lvl>
                <c:lvl>
                  <c:pt idx="0">
                    <c:v>Mar-2026</c:v>
                  </c:pt>
                </c:lvl>
                <c:lvl>
                  <c:pt idx="0">
                    <c:v>Feb-2026</c:v>
                  </c:pt>
                </c:lvl>
                <c:lvl>
                  <c:pt idx="0">
                    <c:v>Jan-2026</c:v>
                  </c:pt>
                </c:lvl>
              </c:multiLvlStrCache>
            </c:multiLvlStrRef>
          </c:cat>
          <c:val>
            <c:numRef>
              <c:f>'Financial Model'!$L$9</c:f>
              <c:numCache>
                <c:formatCode>\₹#,##0;"(₹"#,##0\);\-</c:formatCode>
                <c:ptCount val="1"/>
                <c:pt idx="0">
                  <c:v>12950320.0058089</c:v>
                </c:pt>
              </c:numCache>
            </c:numRef>
          </c:val>
        </c:ser>
        <c:ser>
          <c:idx val="23"/>
          <c:order val="23"/>
          <c:spPr>
            <a:solidFill>
              <a:srgbClr val="cf8e8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Model'!$B$3:$M$3</c:f>
              <c:multiLvlStrCache>
                <c:ptCount val="1"/>
                <c:lvl>
                  <c:pt idx="0">
                    <c:v>Dec-2026</c:v>
                  </c:pt>
                </c:lvl>
                <c:lvl>
                  <c:pt idx="0">
                    <c:v>Nov-2026</c:v>
                  </c:pt>
                </c:lvl>
                <c:lvl>
                  <c:pt idx="0">
                    <c:v>Oct-2026</c:v>
                  </c:pt>
                </c:lvl>
                <c:lvl>
                  <c:pt idx="0">
                    <c:v>Sep-2026</c:v>
                  </c:pt>
                </c:lvl>
                <c:lvl>
                  <c:pt idx="0">
                    <c:v>Aug-2026</c:v>
                  </c:pt>
                </c:lvl>
                <c:lvl>
                  <c:pt idx="0">
                    <c:v>Jul-2026</c:v>
                  </c:pt>
                </c:lvl>
                <c:lvl>
                  <c:pt idx="0">
                    <c:v>Jun-2026</c:v>
                  </c:pt>
                </c:lvl>
                <c:lvl>
                  <c:pt idx="0">
                    <c:v>May-2026</c:v>
                  </c:pt>
                </c:lvl>
                <c:lvl>
                  <c:pt idx="0">
                    <c:v>Apr-2026</c:v>
                  </c:pt>
                </c:lvl>
                <c:lvl>
                  <c:pt idx="0">
                    <c:v>Mar-2026</c:v>
                  </c:pt>
                </c:lvl>
                <c:lvl>
                  <c:pt idx="0">
                    <c:v>Feb-2026</c:v>
                  </c:pt>
                </c:lvl>
                <c:lvl>
                  <c:pt idx="0">
                    <c:v>Jan-2026</c:v>
                  </c:pt>
                </c:lvl>
              </c:multiLvlStrCache>
            </c:multiLvlStrRef>
          </c:cat>
          <c:val>
            <c:numRef>
              <c:f>'Financial Model'!$M$9</c:f>
              <c:numCache>
                <c:formatCode>\₹#,##0;"(₹"#,##0\);\-</c:formatCode>
                <c:ptCount val="1"/>
                <c:pt idx="0">
                  <c:v>15190725.3668139</c:v>
                </c:pt>
              </c:numCache>
            </c:numRef>
          </c:val>
        </c:ser>
        <c:ser>
          <c:idx val="24"/>
          <c:order val="24"/>
          <c:spPr>
            <a:solidFill>
              <a:srgbClr val="d1969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Model'!$B$3:$M$3</c:f>
              <c:multiLvlStrCache>
                <c:ptCount val="1"/>
                <c:lvl>
                  <c:pt idx="0">
                    <c:v>Dec-2026</c:v>
                  </c:pt>
                </c:lvl>
                <c:lvl>
                  <c:pt idx="0">
                    <c:v>Nov-2026</c:v>
                  </c:pt>
                </c:lvl>
                <c:lvl>
                  <c:pt idx="0">
                    <c:v>Oct-2026</c:v>
                  </c:pt>
                </c:lvl>
                <c:lvl>
                  <c:pt idx="0">
                    <c:v>Sep-2026</c:v>
                  </c:pt>
                </c:lvl>
                <c:lvl>
                  <c:pt idx="0">
                    <c:v>Aug-2026</c:v>
                  </c:pt>
                </c:lvl>
                <c:lvl>
                  <c:pt idx="0">
                    <c:v>Jul-2026</c:v>
                  </c:pt>
                </c:lvl>
                <c:lvl>
                  <c:pt idx="0">
                    <c:v>Jun-2026</c:v>
                  </c:pt>
                </c:lvl>
                <c:lvl>
                  <c:pt idx="0">
                    <c:v>May-2026</c:v>
                  </c:pt>
                </c:lvl>
                <c:lvl>
                  <c:pt idx="0">
                    <c:v>Apr-2026</c:v>
                  </c:pt>
                </c:lvl>
                <c:lvl>
                  <c:pt idx="0">
                    <c:v>Mar-2026</c:v>
                  </c:pt>
                </c:lvl>
                <c:lvl>
                  <c:pt idx="0">
                    <c:v>Feb-2026</c:v>
                  </c:pt>
                </c:lvl>
                <c:lvl>
                  <c:pt idx="0">
                    <c:v>Jan-2026</c:v>
                  </c:pt>
                </c:lvl>
              </c:multiLvlStrCache>
            </c:multiLvlStrRef>
          </c:cat>
          <c:val>
            <c:numRef>
              <c:f>'Financial Model'!$B$15</c:f>
              <c:numCache>
                <c:formatCode>\₹#,##0;"(₹"#,##0\);\-</c:formatCode>
                <c:ptCount val="1"/>
                <c:pt idx="0">
                  <c:v>5910406.86637036</c:v>
                </c:pt>
              </c:numCache>
            </c:numRef>
          </c:val>
        </c:ser>
        <c:ser>
          <c:idx val="25"/>
          <c:order val="25"/>
          <c:spPr>
            <a:solidFill>
              <a:srgbClr val="d49e9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Model'!$B$3:$M$3</c:f>
              <c:multiLvlStrCache>
                <c:ptCount val="1"/>
                <c:lvl>
                  <c:pt idx="0">
                    <c:v>Dec-2026</c:v>
                  </c:pt>
                </c:lvl>
                <c:lvl>
                  <c:pt idx="0">
                    <c:v>Nov-2026</c:v>
                  </c:pt>
                </c:lvl>
                <c:lvl>
                  <c:pt idx="0">
                    <c:v>Oct-2026</c:v>
                  </c:pt>
                </c:lvl>
                <c:lvl>
                  <c:pt idx="0">
                    <c:v>Sep-2026</c:v>
                  </c:pt>
                </c:lvl>
                <c:lvl>
                  <c:pt idx="0">
                    <c:v>Aug-2026</c:v>
                  </c:pt>
                </c:lvl>
                <c:lvl>
                  <c:pt idx="0">
                    <c:v>Jul-2026</c:v>
                  </c:pt>
                </c:lvl>
                <c:lvl>
                  <c:pt idx="0">
                    <c:v>Jun-2026</c:v>
                  </c:pt>
                </c:lvl>
                <c:lvl>
                  <c:pt idx="0">
                    <c:v>May-2026</c:v>
                  </c:pt>
                </c:lvl>
                <c:lvl>
                  <c:pt idx="0">
                    <c:v>Apr-2026</c:v>
                  </c:pt>
                </c:lvl>
                <c:lvl>
                  <c:pt idx="0">
                    <c:v>Mar-2026</c:v>
                  </c:pt>
                </c:lvl>
                <c:lvl>
                  <c:pt idx="0">
                    <c:v>Feb-2026</c:v>
                  </c:pt>
                </c:lvl>
                <c:lvl>
                  <c:pt idx="0">
                    <c:v>Jan-2026</c:v>
                  </c:pt>
                </c:lvl>
              </c:multiLvlStrCache>
            </c:multiLvlStrRef>
          </c:cat>
          <c:val>
            <c:numRef>
              <c:f>'Financial Model'!$C$15</c:f>
              <c:numCache>
                <c:formatCode>\₹#,##0;"(₹"#,##0\);\-</c:formatCode>
                <c:ptCount val="1"/>
                <c:pt idx="0">
                  <c:v>6040227.80369777</c:v>
                </c:pt>
              </c:numCache>
            </c:numRef>
          </c:val>
        </c:ser>
        <c:ser>
          <c:idx val="26"/>
          <c:order val="26"/>
          <c:spPr>
            <a:solidFill>
              <a:srgbClr val="d6a5a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Model'!$B$3:$M$3</c:f>
              <c:multiLvlStrCache>
                <c:ptCount val="1"/>
                <c:lvl>
                  <c:pt idx="0">
                    <c:v>Dec-2026</c:v>
                  </c:pt>
                </c:lvl>
                <c:lvl>
                  <c:pt idx="0">
                    <c:v>Nov-2026</c:v>
                  </c:pt>
                </c:lvl>
                <c:lvl>
                  <c:pt idx="0">
                    <c:v>Oct-2026</c:v>
                  </c:pt>
                </c:lvl>
                <c:lvl>
                  <c:pt idx="0">
                    <c:v>Sep-2026</c:v>
                  </c:pt>
                </c:lvl>
                <c:lvl>
                  <c:pt idx="0">
                    <c:v>Aug-2026</c:v>
                  </c:pt>
                </c:lvl>
                <c:lvl>
                  <c:pt idx="0">
                    <c:v>Jul-2026</c:v>
                  </c:pt>
                </c:lvl>
                <c:lvl>
                  <c:pt idx="0">
                    <c:v>Jun-2026</c:v>
                  </c:pt>
                </c:lvl>
                <c:lvl>
                  <c:pt idx="0">
                    <c:v>May-2026</c:v>
                  </c:pt>
                </c:lvl>
                <c:lvl>
                  <c:pt idx="0">
                    <c:v>Apr-2026</c:v>
                  </c:pt>
                </c:lvl>
                <c:lvl>
                  <c:pt idx="0">
                    <c:v>Mar-2026</c:v>
                  </c:pt>
                </c:lvl>
                <c:lvl>
                  <c:pt idx="0">
                    <c:v>Feb-2026</c:v>
                  </c:pt>
                </c:lvl>
                <c:lvl>
                  <c:pt idx="0">
                    <c:v>Jan-2026</c:v>
                  </c:pt>
                </c:lvl>
              </c:multiLvlStrCache>
            </c:multiLvlStrRef>
          </c:cat>
          <c:val>
            <c:numRef>
              <c:f>'Financial Model'!$D$15</c:f>
              <c:numCache>
                <c:formatCode>\₹#,##0;"(₹"#,##0\);\-</c:formatCode>
                <c:ptCount val="1"/>
                <c:pt idx="0">
                  <c:v>6172645.15977172</c:v>
                </c:pt>
              </c:numCache>
            </c:numRef>
          </c:val>
        </c:ser>
        <c:ser>
          <c:idx val="27"/>
          <c:order val="27"/>
          <c:spPr>
            <a:solidFill>
              <a:srgbClr val="d9aba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Model'!$B$3:$M$3</c:f>
              <c:multiLvlStrCache>
                <c:ptCount val="1"/>
                <c:lvl>
                  <c:pt idx="0">
                    <c:v>Dec-2026</c:v>
                  </c:pt>
                </c:lvl>
                <c:lvl>
                  <c:pt idx="0">
                    <c:v>Nov-2026</c:v>
                  </c:pt>
                </c:lvl>
                <c:lvl>
                  <c:pt idx="0">
                    <c:v>Oct-2026</c:v>
                  </c:pt>
                </c:lvl>
                <c:lvl>
                  <c:pt idx="0">
                    <c:v>Sep-2026</c:v>
                  </c:pt>
                </c:lvl>
                <c:lvl>
                  <c:pt idx="0">
                    <c:v>Aug-2026</c:v>
                  </c:pt>
                </c:lvl>
                <c:lvl>
                  <c:pt idx="0">
                    <c:v>Jul-2026</c:v>
                  </c:pt>
                </c:lvl>
                <c:lvl>
                  <c:pt idx="0">
                    <c:v>Jun-2026</c:v>
                  </c:pt>
                </c:lvl>
                <c:lvl>
                  <c:pt idx="0">
                    <c:v>May-2026</c:v>
                  </c:pt>
                </c:lvl>
                <c:lvl>
                  <c:pt idx="0">
                    <c:v>Apr-2026</c:v>
                  </c:pt>
                </c:lvl>
                <c:lvl>
                  <c:pt idx="0">
                    <c:v>Mar-2026</c:v>
                  </c:pt>
                </c:lvl>
                <c:lvl>
                  <c:pt idx="0">
                    <c:v>Feb-2026</c:v>
                  </c:pt>
                </c:lvl>
                <c:lvl>
                  <c:pt idx="0">
                    <c:v>Jan-2026</c:v>
                  </c:pt>
                </c:lvl>
              </c:multiLvlStrCache>
            </c:multiLvlStrRef>
          </c:cat>
          <c:val>
            <c:numRef>
              <c:f>'Financial Model'!$E$15</c:f>
              <c:numCache>
                <c:formatCode>\₹#,##0;"(₹"#,##0\);\-</c:formatCode>
                <c:ptCount val="1"/>
                <c:pt idx="0">
                  <c:v>6307710.86296716</c:v>
                </c:pt>
              </c:numCache>
            </c:numRef>
          </c:val>
        </c:ser>
        <c:ser>
          <c:idx val="28"/>
          <c:order val="28"/>
          <c:spPr>
            <a:solidFill>
              <a:srgbClr val="dbb2b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Model'!$B$3:$M$3</c:f>
              <c:multiLvlStrCache>
                <c:ptCount val="1"/>
                <c:lvl>
                  <c:pt idx="0">
                    <c:v>Dec-2026</c:v>
                  </c:pt>
                </c:lvl>
                <c:lvl>
                  <c:pt idx="0">
                    <c:v>Nov-2026</c:v>
                  </c:pt>
                </c:lvl>
                <c:lvl>
                  <c:pt idx="0">
                    <c:v>Oct-2026</c:v>
                  </c:pt>
                </c:lvl>
                <c:lvl>
                  <c:pt idx="0">
                    <c:v>Sep-2026</c:v>
                  </c:pt>
                </c:lvl>
                <c:lvl>
                  <c:pt idx="0">
                    <c:v>Aug-2026</c:v>
                  </c:pt>
                </c:lvl>
                <c:lvl>
                  <c:pt idx="0">
                    <c:v>Jul-2026</c:v>
                  </c:pt>
                </c:lvl>
                <c:lvl>
                  <c:pt idx="0">
                    <c:v>Jun-2026</c:v>
                  </c:pt>
                </c:lvl>
                <c:lvl>
                  <c:pt idx="0">
                    <c:v>May-2026</c:v>
                  </c:pt>
                </c:lvl>
                <c:lvl>
                  <c:pt idx="0">
                    <c:v>Apr-2026</c:v>
                  </c:pt>
                </c:lvl>
                <c:lvl>
                  <c:pt idx="0">
                    <c:v>Mar-2026</c:v>
                  </c:pt>
                </c:lvl>
                <c:lvl>
                  <c:pt idx="0">
                    <c:v>Feb-2026</c:v>
                  </c:pt>
                </c:lvl>
                <c:lvl>
                  <c:pt idx="0">
                    <c:v>Jan-2026</c:v>
                  </c:pt>
                </c:lvl>
              </c:multiLvlStrCache>
            </c:multiLvlStrRef>
          </c:cat>
          <c:val>
            <c:numRef>
              <c:f>'Financial Model'!$F$15</c:f>
              <c:numCache>
                <c:formatCode>\₹#,##0;"(₹"#,##0\);\-</c:formatCode>
                <c:ptCount val="1"/>
                <c:pt idx="0">
                  <c:v>6445477.8802265</c:v>
                </c:pt>
              </c:numCache>
            </c:numRef>
          </c:val>
        </c:ser>
        <c:ser>
          <c:idx val="29"/>
          <c:order val="29"/>
          <c:spPr>
            <a:solidFill>
              <a:srgbClr val="deb8b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Model'!$B$3:$M$3</c:f>
              <c:multiLvlStrCache>
                <c:ptCount val="1"/>
                <c:lvl>
                  <c:pt idx="0">
                    <c:v>Dec-2026</c:v>
                  </c:pt>
                </c:lvl>
                <c:lvl>
                  <c:pt idx="0">
                    <c:v>Nov-2026</c:v>
                  </c:pt>
                </c:lvl>
                <c:lvl>
                  <c:pt idx="0">
                    <c:v>Oct-2026</c:v>
                  </c:pt>
                </c:lvl>
                <c:lvl>
                  <c:pt idx="0">
                    <c:v>Sep-2026</c:v>
                  </c:pt>
                </c:lvl>
                <c:lvl>
                  <c:pt idx="0">
                    <c:v>Aug-2026</c:v>
                  </c:pt>
                </c:lvl>
                <c:lvl>
                  <c:pt idx="0">
                    <c:v>Jul-2026</c:v>
                  </c:pt>
                </c:lvl>
                <c:lvl>
                  <c:pt idx="0">
                    <c:v>Jun-2026</c:v>
                  </c:pt>
                </c:lvl>
                <c:lvl>
                  <c:pt idx="0">
                    <c:v>May-2026</c:v>
                  </c:pt>
                </c:lvl>
                <c:lvl>
                  <c:pt idx="0">
                    <c:v>Apr-2026</c:v>
                  </c:pt>
                </c:lvl>
                <c:lvl>
                  <c:pt idx="0">
                    <c:v>Mar-2026</c:v>
                  </c:pt>
                </c:lvl>
                <c:lvl>
                  <c:pt idx="0">
                    <c:v>Feb-2026</c:v>
                  </c:pt>
                </c:lvl>
                <c:lvl>
                  <c:pt idx="0">
                    <c:v>Jan-2026</c:v>
                  </c:pt>
                </c:lvl>
              </c:multiLvlStrCache>
            </c:multiLvlStrRef>
          </c:cat>
          <c:val>
            <c:numRef>
              <c:f>'Financial Model'!$G$15</c:f>
              <c:numCache>
                <c:formatCode>\₹#,##0;"(₹"#,##0\);\-</c:formatCode>
                <c:ptCount val="1"/>
                <c:pt idx="0">
                  <c:v>6586000.23783103</c:v>
                </c:pt>
              </c:numCache>
            </c:numRef>
          </c:val>
        </c:ser>
        <c:ser>
          <c:idx val="30"/>
          <c:order val="30"/>
          <c:spPr>
            <a:solidFill>
              <a:srgbClr val="e0be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Model'!$B$3:$M$3</c:f>
              <c:multiLvlStrCache>
                <c:ptCount val="1"/>
                <c:lvl>
                  <c:pt idx="0">
                    <c:v>Dec-2026</c:v>
                  </c:pt>
                </c:lvl>
                <c:lvl>
                  <c:pt idx="0">
                    <c:v>Nov-2026</c:v>
                  </c:pt>
                </c:lvl>
                <c:lvl>
                  <c:pt idx="0">
                    <c:v>Oct-2026</c:v>
                  </c:pt>
                </c:lvl>
                <c:lvl>
                  <c:pt idx="0">
                    <c:v>Sep-2026</c:v>
                  </c:pt>
                </c:lvl>
                <c:lvl>
                  <c:pt idx="0">
                    <c:v>Aug-2026</c:v>
                  </c:pt>
                </c:lvl>
                <c:lvl>
                  <c:pt idx="0">
                    <c:v>Jul-2026</c:v>
                  </c:pt>
                </c:lvl>
                <c:lvl>
                  <c:pt idx="0">
                    <c:v>Jun-2026</c:v>
                  </c:pt>
                </c:lvl>
                <c:lvl>
                  <c:pt idx="0">
                    <c:v>May-2026</c:v>
                  </c:pt>
                </c:lvl>
                <c:lvl>
                  <c:pt idx="0">
                    <c:v>Apr-2026</c:v>
                  </c:pt>
                </c:lvl>
                <c:lvl>
                  <c:pt idx="0">
                    <c:v>Mar-2026</c:v>
                  </c:pt>
                </c:lvl>
                <c:lvl>
                  <c:pt idx="0">
                    <c:v>Feb-2026</c:v>
                  </c:pt>
                </c:lvl>
                <c:lvl>
                  <c:pt idx="0">
                    <c:v>Jan-2026</c:v>
                  </c:pt>
                </c:lvl>
              </c:multiLvlStrCache>
            </c:multiLvlStrRef>
          </c:cat>
          <c:val>
            <c:numRef>
              <c:f>'Financial Model'!$H$15</c:f>
              <c:numCache>
                <c:formatCode>\₹#,##0;"(₹"#,##0\);\-</c:formatCode>
                <c:ptCount val="1"/>
                <c:pt idx="0">
                  <c:v>6729333.04258765</c:v>
                </c:pt>
              </c:numCache>
            </c:numRef>
          </c:val>
        </c:ser>
        <c:ser>
          <c:idx val="31"/>
          <c:order val="31"/>
          <c:spPr>
            <a:solidFill>
              <a:srgbClr val="e3c3c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Model'!$B$3:$M$3</c:f>
              <c:multiLvlStrCache>
                <c:ptCount val="1"/>
                <c:lvl>
                  <c:pt idx="0">
                    <c:v>Dec-2026</c:v>
                  </c:pt>
                </c:lvl>
                <c:lvl>
                  <c:pt idx="0">
                    <c:v>Nov-2026</c:v>
                  </c:pt>
                </c:lvl>
                <c:lvl>
                  <c:pt idx="0">
                    <c:v>Oct-2026</c:v>
                  </c:pt>
                </c:lvl>
                <c:lvl>
                  <c:pt idx="0">
                    <c:v>Sep-2026</c:v>
                  </c:pt>
                </c:lvl>
                <c:lvl>
                  <c:pt idx="0">
                    <c:v>Aug-2026</c:v>
                  </c:pt>
                </c:lvl>
                <c:lvl>
                  <c:pt idx="0">
                    <c:v>Jul-2026</c:v>
                  </c:pt>
                </c:lvl>
                <c:lvl>
                  <c:pt idx="0">
                    <c:v>Jun-2026</c:v>
                  </c:pt>
                </c:lvl>
                <c:lvl>
                  <c:pt idx="0">
                    <c:v>May-2026</c:v>
                  </c:pt>
                </c:lvl>
                <c:lvl>
                  <c:pt idx="0">
                    <c:v>Apr-2026</c:v>
                  </c:pt>
                </c:lvl>
                <c:lvl>
                  <c:pt idx="0">
                    <c:v>Mar-2026</c:v>
                  </c:pt>
                </c:lvl>
                <c:lvl>
                  <c:pt idx="0">
                    <c:v>Feb-2026</c:v>
                  </c:pt>
                </c:lvl>
                <c:lvl>
                  <c:pt idx="0">
                    <c:v>Jan-2026</c:v>
                  </c:pt>
                </c:lvl>
              </c:multiLvlStrCache>
            </c:multiLvlStrRef>
          </c:cat>
          <c:val>
            <c:numRef>
              <c:f>'Financial Model'!$I$15</c:f>
              <c:numCache>
                <c:formatCode>\₹#,##0;"(₹"#,##0\);\-</c:formatCode>
                <c:ptCount val="1"/>
                <c:pt idx="0">
                  <c:v>6875532.5034394</c:v>
                </c:pt>
              </c:numCache>
            </c:numRef>
          </c:val>
        </c:ser>
        <c:ser>
          <c:idx val="32"/>
          <c:order val="32"/>
          <c:spPr>
            <a:solidFill>
              <a:srgbClr val="e5c9c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Model'!$B$3:$M$3</c:f>
              <c:multiLvlStrCache>
                <c:ptCount val="1"/>
                <c:lvl>
                  <c:pt idx="0">
                    <c:v>Dec-2026</c:v>
                  </c:pt>
                </c:lvl>
                <c:lvl>
                  <c:pt idx="0">
                    <c:v>Nov-2026</c:v>
                  </c:pt>
                </c:lvl>
                <c:lvl>
                  <c:pt idx="0">
                    <c:v>Oct-2026</c:v>
                  </c:pt>
                </c:lvl>
                <c:lvl>
                  <c:pt idx="0">
                    <c:v>Sep-2026</c:v>
                  </c:pt>
                </c:lvl>
                <c:lvl>
                  <c:pt idx="0">
                    <c:v>Aug-2026</c:v>
                  </c:pt>
                </c:lvl>
                <c:lvl>
                  <c:pt idx="0">
                    <c:v>Jul-2026</c:v>
                  </c:pt>
                </c:lvl>
                <c:lvl>
                  <c:pt idx="0">
                    <c:v>Jun-2026</c:v>
                  </c:pt>
                </c:lvl>
                <c:lvl>
                  <c:pt idx="0">
                    <c:v>May-2026</c:v>
                  </c:pt>
                </c:lvl>
                <c:lvl>
                  <c:pt idx="0">
                    <c:v>Apr-2026</c:v>
                  </c:pt>
                </c:lvl>
                <c:lvl>
                  <c:pt idx="0">
                    <c:v>Mar-2026</c:v>
                  </c:pt>
                </c:lvl>
                <c:lvl>
                  <c:pt idx="0">
                    <c:v>Feb-2026</c:v>
                  </c:pt>
                </c:lvl>
                <c:lvl>
                  <c:pt idx="0">
                    <c:v>Jan-2026</c:v>
                  </c:pt>
                </c:lvl>
              </c:multiLvlStrCache>
            </c:multiLvlStrRef>
          </c:cat>
          <c:val>
            <c:numRef>
              <c:f>'Financial Model'!$J$15</c:f>
              <c:numCache>
                <c:formatCode>\₹#,##0;"(₹"#,##0\);\-</c:formatCode>
                <c:ptCount val="1"/>
                <c:pt idx="0">
                  <c:v>7024655.95350819</c:v>
                </c:pt>
              </c:numCache>
            </c:numRef>
          </c:val>
        </c:ser>
        <c:ser>
          <c:idx val="33"/>
          <c:order val="33"/>
          <c:spPr>
            <a:solidFill>
              <a:srgbClr val="e7ce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Model'!$B$3:$M$3</c:f>
              <c:multiLvlStrCache>
                <c:ptCount val="1"/>
                <c:lvl>
                  <c:pt idx="0">
                    <c:v>Dec-2026</c:v>
                  </c:pt>
                </c:lvl>
                <c:lvl>
                  <c:pt idx="0">
                    <c:v>Nov-2026</c:v>
                  </c:pt>
                </c:lvl>
                <c:lvl>
                  <c:pt idx="0">
                    <c:v>Oct-2026</c:v>
                  </c:pt>
                </c:lvl>
                <c:lvl>
                  <c:pt idx="0">
                    <c:v>Sep-2026</c:v>
                  </c:pt>
                </c:lvl>
                <c:lvl>
                  <c:pt idx="0">
                    <c:v>Aug-2026</c:v>
                  </c:pt>
                </c:lvl>
                <c:lvl>
                  <c:pt idx="0">
                    <c:v>Jul-2026</c:v>
                  </c:pt>
                </c:lvl>
                <c:lvl>
                  <c:pt idx="0">
                    <c:v>Jun-2026</c:v>
                  </c:pt>
                </c:lvl>
                <c:lvl>
                  <c:pt idx="0">
                    <c:v>May-2026</c:v>
                  </c:pt>
                </c:lvl>
                <c:lvl>
                  <c:pt idx="0">
                    <c:v>Apr-2026</c:v>
                  </c:pt>
                </c:lvl>
                <c:lvl>
                  <c:pt idx="0">
                    <c:v>Mar-2026</c:v>
                  </c:pt>
                </c:lvl>
                <c:lvl>
                  <c:pt idx="0">
                    <c:v>Feb-2026</c:v>
                  </c:pt>
                </c:lvl>
                <c:lvl>
                  <c:pt idx="0">
                    <c:v>Jan-2026</c:v>
                  </c:pt>
                </c:lvl>
              </c:multiLvlStrCache>
            </c:multiLvlStrRef>
          </c:cat>
          <c:val>
            <c:numRef>
              <c:f>'Financial Model'!$K$15</c:f>
              <c:numCache>
                <c:formatCode>\₹#,##0;"(₹"#,##0\);\-</c:formatCode>
                <c:ptCount val="1"/>
                <c:pt idx="0">
                  <c:v>7176761.87257836</c:v>
                </c:pt>
              </c:numCache>
            </c:numRef>
          </c:val>
        </c:ser>
        <c:ser>
          <c:idx val="34"/>
          <c:order val="34"/>
          <c:spPr>
            <a:solidFill>
              <a:srgbClr val="e9d3d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Model'!$B$3:$M$3</c:f>
              <c:multiLvlStrCache>
                <c:ptCount val="1"/>
                <c:lvl>
                  <c:pt idx="0">
                    <c:v>Dec-2026</c:v>
                  </c:pt>
                </c:lvl>
                <c:lvl>
                  <c:pt idx="0">
                    <c:v>Nov-2026</c:v>
                  </c:pt>
                </c:lvl>
                <c:lvl>
                  <c:pt idx="0">
                    <c:v>Oct-2026</c:v>
                  </c:pt>
                </c:lvl>
                <c:lvl>
                  <c:pt idx="0">
                    <c:v>Sep-2026</c:v>
                  </c:pt>
                </c:lvl>
                <c:lvl>
                  <c:pt idx="0">
                    <c:v>Aug-2026</c:v>
                  </c:pt>
                </c:lvl>
                <c:lvl>
                  <c:pt idx="0">
                    <c:v>Jul-2026</c:v>
                  </c:pt>
                </c:lvl>
                <c:lvl>
                  <c:pt idx="0">
                    <c:v>Jun-2026</c:v>
                  </c:pt>
                </c:lvl>
                <c:lvl>
                  <c:pt idx="0">
                    <c:v>May-2026</c:v>
                  </c:pt>
                </c:lvl>
                <c:lvl>
                  <c:pt idx="0">
                    <c:v>Apr-2026</c:v>
                  </c:pt>
                </c:lvl>
                <c:lvl>
                  <c:pt idx="0">
                    <c:v>Mar-2026</c:v>
                  </c:pt>
                </c:lvl>
                <c:lvl>
                  <c:pt idx="0">
                    <c:v>Feb-2026</c:v>
                  </c:pt>
                </c:lvl>
                <c:lvl>
                  <c:pt idx="0">
                    <c:v>Jan-2026</c:v>
                  </c:pt>
                </c:lvl>
              </c:multiLvlStrCache>
            </c:multiLvlStrRef>
          </c:cat>
          <c:val>
            <c:numRef>
              <c:f>'Financial Model'!$L$15</c:f>
              <c:numCache>
                <c:formatCode>\₹#,##0;"(₹"#,##0\);\-</c:formatCode>
                <c:ptCount val="1"/>
                <c:pt idx="0">
                  <c:v>8518792.39653441</c:v>
                </c:pt>
              </c:numCache>
            </c:numRef>
          </c:val>
        </c:ser>
        <c:ser>
          <c:idx val="35"/>
          <c:order val="35"/>
          <c:spPr>
            <a:solidFill>
              <a:srgbClr val="ecd8d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'Financial Model'!$B$3:$M$3</c:f>
              <c:multiLvlStrCache>
                <c:ptCount val="1"/>
                <c:lvl>
                  <c:pt idx="0">
                    <c:v>Dec-2026</c:v>
                  </c:pt>
                </c:lvl>
                <c:lvl>
                  <c:pt idx="0">
                    <c:v>Nov-2026</c:v>
                  </c:pt>
                </c:lvl>
                <c:lvl>
                  <c:pt idx="0">
                    <c:v>Oct-2026</c:v>
                  </c:pt>
                </c:lvl>
                <c:lvl>
                  <c:pt idx="0">
                    <c:v>Sep-2026</c:v>
                  </c:pt>
                </c:lvl>
                <c:lvl>
                  <c:pt idx="0">
                    <c:v>Aug-2026</c:v>
                  </c:pt>
                </c:lvl>
                <c:lvl>
                  <c:pt idx="0">
                    <c:v>Jul-2026</c:v>
                  </c:pt>
                </c:lvl>
                <c:lvl>
                  <c:pt idx="0">
                    <c:v>Jun-2026</c:v>
                  </c:pt>
                </c:lvl>
                <c:lvl>
                  <c:pt idx="0">
                    <c:v>May-2026</c:v>
                  </c:pt>
                </c:lvl>
                <c:lvl>
                  <c:pt idx="0">
                    <c:v>Apr-2026</c:v>
                  </c:pt>
                </c:lvl>
                <c:lvl>
                  <c:pt idx="0">
                    <c:v>Mar-2026</c:v>
                  </c:pt>
                </c:lvl>
                <c:lvl>
                  <c:pt idx="0">
                    <c:v>Feb-2026</c:v>
                  </c:pt>
                </c:lvl>
                <c:lvl>
                  <c:pt idx="0">
                    <c:v>Jan-2026</c:v>
                  </c:pt>
                </c:lvl>
              </c:multiLvlStrCache>
            </c:multiLvlStrRef>
          </c:cat>
          <c:val>
            <c:numRef>
              <c:f>'Financial Model'!$M$15</c:f>
              <c:numCache>
                <c:formatCode>\₹#,##0;"(₹"#,##0\);\-</c:formatCode>
                <c:ptCount val="1"/>
                <c:pt idx="0">
                  <c:v>10092994.2011349</c:v>
                </c:pt>
              </c:numCache>
            </c:numRef>
          </c:val>
        </c:ser>
        <c:gapWidth val="150"/>
        <c:overlap val="0"/>
        <c:axId val="79352024"/>
        <c:axId val="91806468"/>
      </c:barChart>
      <c:catAx>
        <c:axId val="793520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806468"/>
        <c:crosses val="autoZero"/>
        <c:auto val="1"/>
        <c:lblAlgn val="ctr"/>
        <c:lblOffset val="100"/>
        <c:noMultiLvlLbl val="0"/>
      </c:catAx>
      <c:valAx>
        <c:axId val="918064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;&quot;(₹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3520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6</xdr:col>
      <xdr:colOff>197640</xdr:colOff>
      <xdr:row>24</xdr:row>
      <xdr:rowOff>190440</xdr:rowOff>
    </xdr:to>
    <xdr:graphicFrame>
      <xdr:nvGraphicFramePr>
        <xdr:cNvPr id="0" name="Chart 1"/>
        <xdr:cNvGraphicFramePr/>
      </xdr:nvGraphicFramePr>
      <xdr:xfrm>
        <a:off x="0" y="2085840"/>
        <a:ext cx="654120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8</xdr:row>
      <xdr:rowOff>0</xdr:rowOff>
    </xdr:from>
    <xdr:to>
      <xdr:col>10</xdr:col>
      <xdr:colOff>371520</xdr:colOff>
      <xdr:row>24</xdr:row>
      <xdr:rowOff>190440</xdr:rowOff>
    </xdr:to>
    <xdr:graphicFrame>
      <xdr:nvGraphicFramePr>
        <xdr:cNvPr id="1" name="Chart 2"/>
        <xdr:cNvGraphicFramePr/>
      </xdr:nvGraphicFramePr>
      <xdr:xfrm>
        <a:off x="6343560" y="2085840"/>
        <a:ext cx="460080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4</xdr:col>
      <xdr:colOff>371520</xdr:colOff>
      <xdr:row>43</xdr:row>
      <xdr:rowOff>190800</xdr:rowOff>
    </xdr:to>
    <xdr:graphicFrame>
      <xdr:nvGraphicFramePr>
        <xdr:cNvPr id="2" name="Chart 3"/>
        <xdr:cNvGraphicFramePr/>
      </xdr:nvGraphicFramePr>
      <xdr:xfrm>
        <a:off x="0" y="5705640"/>
        <a:ext cx="460080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27</xdr:row>
      <xdr:rowOff>0</xdr:rowOff>
    </xdr:from>
    <xdr:to>
      <xdr:col>12</xdr:col>
      <xdr:colOff>198000</xdr:colOff>
      <xdr:row>43</xdr:row>
      <xdr:rowOff>190800</xdr:rowOff>
    </xdr:to>
    <xdr:graphicFrame>
      <xdr:nvGraphicFramePr>
        <xdr:cNvPr id="3" name="Chart 4"/>
        <xdr:cNvGraphicFramePr/>
      </xdr:nvGraphicFramePr>
      <xdr:xfrm>
        <a:off x="6343560" y="5705640"/>
        <a:ext cx="654192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3:J291" headerRowCount="1" totalsRowCount="0" totalsRowShown="0">
  <autoFilter ref="A3:J291"/>
  <tableColumns count="10">
    <tableColumn id="1" name="Date"/>
    <tableColumn id="2" name="Month"/>
    <tableColumn id="3" name="Region"/>
    <tableColumn id="4" name="Category"/>
    <tableColumn id="5" name="Units Sold"/>
    <tableColumn id="6" name="Unit Price (₹)"/>
    <tableColumn id="7" name="Revenue (₹)"/>
    <tableColumn id="8" name="COGS Rate"/>
    <tableColumn id="9" name="COGS (₹)"/>
    <tableColumn id="10" name="Gross Profit (₹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6" min="2" style="1" width="26"/>
    <col collapsed="false" customWidth="true" hidden="false" outlineLevel="0" max="7" min="7" style="1" width="3"/>
  </cols>
  <sheetData>
    <row r="2" customFormat="false" ht="33.75" hidden="false" customHeight="true" outlineLevel="0" collapsed="false">
      <c r="A2" s="2" t="s">
        <v>0</v>
      </c>
      <c r="B2" s="2"/>
      <c r="C2" s="2"/>
      <c r="D2" s="2"/>
      <c r="E2" s="2"/>
      <c r="F2" s="2"/>
    </row>
    <row r="3" customFormat="false" ht="18" hidden="false" customHeight="true" outlineLevel="0" collapsed="false">
      <c r="A3" s="3" t="s">
        <v>1</v>
      </c>
      <c r="B3" s="3"/>
      <c r="C3" s="3"/>
      <c r="D3" s="3"/>
      <c r="E3" s="3"/>
      <c r="F3" s="3"/>
    </row>
    <row r="5" customFormat="false" ht="15" hidden="false" customHeight="true" outlineLevel="0" collapsed="false">
      <c r="B5" s="4" t="s">
        <v>2</v>
      </c>
    </row>
    <row r="6" customFormat="false" ht="39.75" hidden="false" customHeight="true" outlineLevel="0" collapsed="false">
      <c r="B6" s="5" t="s">
        <v>3</v>
      </c>
      <c r="C6" s="5"/>
      <c r="D6" s="5"/>
      <c r="E6" s="5"/>
      <c r="F6" s="5"/>
    </row>
    <row r="8" customFormat="false" ht="15" hidden="false" customHeight="true" outlineLevel="0" collapsed="false">
      <c r="B8" s="4" t="s">
        <v>4</v>
      </c>
    </row>
    <row r="9" customFormat="false" ht="39.75" hidden="false" customHeight="true" outlineLevel="0" collapsed="false">
      <c r="B9" s="5" t="s">
        <v>5</v>
      </c>
      <c r="C9" s="5"/>
      <c r="D9" s="5"/>
      <c r="E9" s="5"/>
      <c r="F9" s="5"/>
    </row>
    <row r="11" customFormat="false" ht="15" hidden="false" customHeight="true" outlineLevel="0" collapsed="false">
      <c r="B11" s="4" t="s">
        <v>6</v>
      </c>
    </row>
    <row r="12" customFormat="false" ht="19.5" hidden="false" customHeight="true" outlineLevel="0" collapsed="false">
      <c r="B12" s="6" t="s">
        <v>7</v>
      </c>
      <c r="C12" s="6" t="s">
        <v>8</v>
      </c>
      <c r="D12" s="6"/>
      <c r="E12" s="6"/>
      <c r="F12" s="6"/>
    </row>
    <row r="13" customFormat="false" ht="15" hidden="false" customHeight="true" outlineLevel="0" collapsed="false">
      <c r="B13" s="7" t="s">
        <v>9</v>
      </c>
      <c r="C13" s="8" t="s">
        <v>10</v>
      </c>
      <c r="D13" s="8"/>
      <c r="E13" s="8"/>
      <c r="F13" s="8"/>
    </row>
    <row r="14" customFormat="false" ht="15" hidden="false" customHeight="true" outlineLevel="0" collapsed="false">
      <c r="B14" s="9" t="s">
        <v>11</v>
      </c>
      <c r="C14" s="10" t="s">
        <v>12</v>
      </c>
      <c r="D14" s="10"/>
      <c r="E14" s="10"/>
      <c r="F14" s="10"/>
    </row>
    <row r="15" customFormat="false" ht="15" hidden="false" customHeight="true" outlineLevel="0" collapsed="false">
      <c r="B15" s="7" t="s">
        <v>13</v>
      </c>
      <c r="C15" s="8" t="s">
        <v>14</v>
      </c>
      <c r="D15" s="8"/>
      <c r="E15" s="8"/>
      <c r="F15" s="8"/>
    </row>
    <row r="16" customFormat="false" ht="15" hidden="false" customHeight="true" outlineLevel="0" collapsed="false">
      <c r="B16" s="9" t="s">
        <v>15</v>
      </c>
      <c r="C16" s="10" t="s">
        <v>16</v>
      </c>
      <c r="D16" s="10"/>
      <c r="E16" s="10"/>
      <c r="F16" s="10"/>
    </row>
    <row r="17" customFormat="false" ht="15" hidden="false" customHeight="true" outlineLevel="0" collapsed="false">
      <c r="B17" s="7" t="s">
        <v>17</v>
      </c>
      <c r="C17" s="8" t="s">
        <v>18</v>
      </c>
      <c r="D17" s="8"/>
      <c r="E17" s="8"/>
      <c r="F17" s="8"/>
    </row>
    <row r="18" customFormat="false" ht="15" hidden="false" customHeight="true" outlineLevel="0" collapsed="false">
      <c r="B18" s="9" t="s">
        <v>19</v>
      </c>
      <c r="C18" s="10" t="s">
        <v>20</v>
      </c>
      <c r="D18" s="10"/>
      <c r="E18" s="10"/>
      <c r="F18" s="10"/>
    </row>
    <row r="20" customFormat="false" ht="15" hidden="false" customHeight="true" outlineLevel="0" collapsed="false">
      <c r="B20" s="11" t="s">
        <v>21</v>
      </c>
    </row>
    <row r="21" customFormat="false" ht="15" hidden="false" customHeight="true" outlineLevel="0" collapsed="false">
      <c r="B21" s="12" t="s">
        <v>22</v>
      </c>
      <c r="C21" s="13" t="s">
        <v>23</v>
      </c>
      <c r="D21" s="13"/>
      <c r="E21" s="13"/>
      <c r="F21" s="13"/>
    </row>
    <row r="22" customFormat="false" ht="15" hidden="false" customHeight="true" outlineLevel="0" collapsed="false">
      <c r="B22" s="14" t="s">
        <v>24</v>
      </c>
      <c r="C22" s="13" t="s">
        <v>25</v>
      </c>
      <c r="D22" s="13"/>
      <c r="E22" s="13"/>
      <c r="F22" s="13"/>
    </row>
    <row r="23" customFormat="false" ht="15" hidden="false" customHeight="true" outlineLevel="0" collapsed="false">
      <c r="B23" s="15" t="s">
        <v>26</v>
      </c>
      <c r="C23" s="13" t="s">
        <v>27</v>
      </c>
      <c r="D23" s="13"/>
      <c r="E23" s="13"/>
      <c r="F23" s="13"/>
    </row>
  </sheetData>
  <mergeCells count="14">
    <mergeCell ref="A2:F2"/>
    <mergeCell ref="A3:F3"/>
    <mergeCell ref="B6:F6"/>
    <mergeCell ref="B9:F9"/>
    <mergeCell ref="C12:F12"/>
    <mergeCell ref="C13:F13"/>
    <mergeCell ref="C14:F14"/>
    <mergeCell ref="C15:F15"/>
    <mergeCell ref="C16:F16"/>
    <mergeCell ref="C17:F17"/>
    <mergeCell ref="C18:F18"/>
    <mergeCell ref="C21:F21"/>
    <mergeCell ref="C22:F22"/>
    <mergeCell ref="C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1" width="15"/>
  </cols>
  <sheetData>
    <row r="1" customFormat="false" ht="33.75" hidden="false" customHeight="true" outlineLevel="0" collapsed="false">
      <c r="A1" s="2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8" hidden="false" customHeight="true" outlineLevel="0" collapsed="false">
      <c r="A2" s="3" t="s">
        <v>29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9.5" hidden="false" customHeight="true" outlineLevel="0" collapsed="false">
      <c r="A4" s="16" t="s">
        <v>30</v>
      </c>
      <c r="B4" s="16"/>
      <c r="C4" s="16" t="s">
        <v>31</v>
      </c>
      <c r="D4" s="16"/>
      <c r="E4" s="16" t="s">
        <v>32</v>
      </c>
      <c r="F4" s="16"/>
      <c r="G4" s="16" t="s">
        <v>33</v>
      </c>
      <c r="H4" s="16"/>
      <c r="I4" s="16" t="s">
        <v>34</v>
      </c>
      <c r="J4" s="16"/>
      <c r="K4" s="16" t="s">
        <v>35</v>
      </c>
      <c r="L4" s="16"/>
    </row>
    <row r="5" customFormat="false" ht="24" hidden="false" customHeight="true" outlineLevel="0" collapsed="false">
      <c r="A5" s="17" t="n">
        <f aca="false">SUMPRODUCT((RIGHT('Monthly Summary'!A4:A27,4)="2025")*'Monthly Summary'!C4:C27)</f>
        <v>276965792.18</v>
      </c>
      <c r="B5" s="17"/>
      <c r="C5" s="18" t="n">
        <f aca="false">SUMPRODUCT((RIGHT('Monthly Summary'!A4:A27,4)="2025")*'Monthly Summary'!E4:E27)/SUMPRODUCT((RIGHT('Monthly Summary'!A4:A27,4)="2025")*'Monthly Summary'!C4:C27)</f>
        <v>0.530681182110307</v>
      </c>
      <c r="D5" s="18"/>
      <c r="E5" s="18" t="n">
        <f aca="false">'Monthly Summary'!G27</f>
        <v>0.159605925836434</v>
      </c>
      <c r="F5" s="18"/>
      <c r="G5" s="17" t="n">
        <f aca="false">'Financial Model'!N4</f>
        <v>487906652.95729</v>
      </c>
      <c r="H5" s="17"/>
      <c r="I5" s="17" t="n">
        <f aca="false">'Financial Model'!N15</f>
        <v>83880538.7806474</v>
      </c>
      <c r="J5" s="17"/>
      <c r="K5" s="18" t="n">
        <f aca="false">'Financial Model'!N15/'Financial Model'!N4</f>
        <v>0.171919235518172</v>
      </c>
      <c r="L5" s="18"/>
    </row>
    <row r="6" customFormat="false" ht="24" hidden="false" customHeight="true" outlineLevel="0" collapsed="false">
      <c r="A6" s="17"/>
      <c r="B6" s="17"/>
      <c r="C6" s="18"/>
      <c r="D6" s="18"/>
      <c r="E6" s="18"/>
      <c r="F6" s="18"/>
      <c r="G6" s="17"/>
      <c r="H6" s="17"/>
      <c r="I6" s="17"/>
      <c r="J6" s="17"/>
      <c r="K6" s="18"/>
      <c r="L6" s="18"/>
    </row>
    <row r="8" customFormat="false" ht="15" hidden="false" customHeight="true" outlineLevel="0" collapsed="false">
      <c r="A8" s="19" t="s">
        <v>36</v>
      </c>
    </row>
  </sheetData>
  <mergeCells count="14">
    <mergeCell ref="A1:L1"/>
    <mergeCell ref="A2:L2"/>
    <mergeCell ref="A4:B4"/>
    <mergeCell ref="C4:D4"/>
    <mergeCell ref="E4:F4"/>
    <mergeCell ref="G4:H4"/>
    <mergeCell ref="I4:J4"/>
    <mergeCell ref="K4:L4"/>
    <mergeCell ref="A5:B6"/>
    <mergeCell ref="C5:D6"/>
    <mergeCell ref="E5:F6"/>
    <mergeCell ref="G5:H6"/>
    <mergeCell ref="I5:J6"/>
    <mergeCell ref="K5:L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2"/>
    <col collapsed="false" customWidth="true" hidden="false" outlineLevel="0" max="3" min="3" style="1" width="42"/>
  </cols>
  <sheetData>
    <row r="1" customFormat="false" ht="33.75" hidden="false" customHeight="true" outlineLevel="0" collapsed="false">
      <c r="A1" s="2" t="s">
        <v>37</v>
      </c>
      <c r="B1" s="2"/>
      <c r="C1" s="2"/>
      <c r="D1" s="2"/>
    </row>
    <row r="2" customFormat="false" ht="18" hidden="false" customHeight="true" outlineLevel="0" collapsed="false">
      <c r="A2" s="3" t="s">
        <v>38</v>
      </c>
      <c r="B2" s="3"/>
      <c r="C2" s="3"/>
      <c r="D2" s="3"/>
    </row>
    <row r="3" customFormat="false" ht="21.75" hidden="false" customHeight="true" outlineLevel="0" collapsed="false">
      <c r="A3" s="20" t="s">
        <v>39</v>
      </c>
      <c r="B3" s="20" t="s">
        <v>40</v>
      </c>
      <c r="C3" s="20" t="s">
        <v>41</v>
      </c>
      <c r="D3" s="20" t="s">
        <v>42</v>
      </c>
    </row>
    <row r="4" customFormat="false" ht="15" hidden="false" customHeight="true" outlineLevel="0" collapsed="false">
      <c r="A4" s="8" t="s">
        <v>43</v>
      </c>
      <c r="B4" s="21" t="n">
        <v>4011</v>
      </c>
      <c r="C4" s="22" t="n">
        <v>0.46</v>
      </c>
      <c r="D4" s="23" t="n">
        <f aca="false">1-C4</f>
        <v>0.54</v>
      </c>
    </row>
    <row r="5" customFormat="false" ht="15" hidden="false" customHeight="true" outlineLevel="0" collapsed="false">
      <c r="A5" s="24" t="s">
        <v>44</v>
      </c>
      <c r="B5" s="25" t="n">
        <v>6494</v>
      </c>
      <c r="C5" s="26" t="n">
        <v>0.52</v>
      </c>
      <c r="D5" s="27" t="n">
        <f aca="false">1-C5</f>
        <v>0.48</v>
      </c>
    </row>
    <row r="6" customFormat="false" ht="15" hidden="false" customHeight="true" outlineLevel="0" collapsed="false">
      <c r="A6" s="8" t="s">
        <v>45</v>
      </c>
      <c r="B6" s="21" t="n">
        <v>2292</v>
      </c>
      <c r="C6" s="22" t="n">
        <v>0.38</v>
      </c>
      <c r="D6" s="23" t="n">
        <f aca="false">1-C6</f>
        <v>0.62</v>
      </c>
    </row>
    <row r="9" customFormat="false" ht="15" hidden="false" customHeight="true" outlineLevel="0" collapsed="false">
      <c r="A9" s="4" t="s">
        <v>46</v>
      </c>
    </row>
    <row r="10" customFormat="false" ht="15" hidden="false" customHeight="true" outlineLevel="0" collapsed="false">
      <c r="A10" s="28" t="s">
        <v>47</v>
      </c>
      <c r="B10" s="29" t="s">
        <v>44</v>
      </c>
    </row>
    <row r="12" customFormat="false" ht="19.5" hidden="false" customHeight="true" outlineLevel="0" collapsed="false">
      <c r="A12" s="6" t="s">
        <v>48</v>
      </c>
      <c r="B12" s="6" t="s">
        <v>49</v>
      </c>
      <c r="C12" s="6" t="s">
        <v>50</v>
      </c>
    </row>
    <row r="13" customFormat="false" ht="15" hidden="false" customHeight="true" outlineLevel="0" collapsed="false">
      <c r="A13" s="7" t="s">
        <v>51</v>
      </c>
      <c r="B13" s="23" t="n">
        <f aca="false">IFERROR(xlookup(B10,'Lookup Reference'!$A$4:$A$6,'Lookup Reference'!$C$4:$C$6),INDEX('Lookup Reference'!$C$4:$C$6,MATCH(B10,'Lookup Reference'!$A$4:$A$6,0)))</f>
        <v>0.52</v>
      </c>
      <c r="C13" s="30" t="s">
        <v>52</v>
      </c>
    </row>
    <row r="14" customFormat="false" ht="15" hidden="false" customHeight="true" outlineLevel="0" collapsed="false">
      <c r="A14" s="31" t="s">
        <v>53</v>
      </c>
      <c r="B14" s="27" t="n">
        <f aca="false">VLOOKUP(B10,'Lookup Reference'!$A$4:$C$6,3,FALSE())</f>
        <v>0.52</v>
      </c>
      <c r="C14" s="32" t="s">
        <v>54</v>
      </c>
    </row>
    <row r="15" customFormat="false" ht="15" hidden="false" customHeight="true" outlineLevel="0" collapsed="false">
      <c r="A15" s="7" t="s">
        <v>55</v>
      </c>
      <c r="B15" s="23" t="n">
        <f aca="false">INDEX('Lookup Reference'!$C$4:$C$6,MATCH(B10,'Lookup Reference'!$A$4:$A$6,0))</f>
        <v>0.52</v>
      </c>
      <c r="C15" s="30" t="s">
        <v>56</v>
      </c>
    </row>
    <row r="17" customFormat="false" ht="15" hidden="false" customHeight="true" outlineLevel="0" collapsed="false">
      <c r="A17" s="11" t="s">
        <v>57</v>
      </c>
      <c r="B17" s="33" t="str">
        <f aca="false">IF(AND(B13=B14,B14=B15),"TRUE","CHECK")</f>
        <v>TRUE</v>
      </c>
    </row>
    <row r="19" customFormat="false" ht="27.75" hidden="false" customHeight="true" outlineLevel="0" collapsed="false">
      <c r="A19" s="34" t="s">
        <v>58</v>
      </c>
      <c r="B19" s="34"/>
      <c r="C19" s="34"/>
    </row>
  </sheetData>
  <mergeCells count="3">
    <mergeCell ref="A1:D1"/>
    <mergeCell ref="A2:D2"/>
    <mergeCell ref="A19:C19"/>
  </mergeCells>
  <dataValidations count="1">
    <dataValidation allowBlank="false" errorStyle="stop" operator="between" showDropDown="false" showErrorMessage="false" showInputMessage="false" sqref="B10" type="list">
      <formula1>"Apparel,Footwear,Accessories"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1"/>
    <col collapsed="false" customWidth="true" hidden="false" outlineLevel="0" max="3" min="3" style="1" width="10"/>
    <col collapsed="false" customWidth="true" hidden="false" outlineLevel="0" max="4" min="4" style="1" width="13"/>
    <col collapsed="false" customWidth="true" hidden="false" outlineLevel="0" max="5" min="5" style="1" width="11"/>
    <col collapsed="false" customWidth="true" hidden="false" outlineLevel="0" max="7" min="6" style="1" width="15"/>
    <col collapsed="false" customWidth="true" hidden="false" outlineLevel="0" max="8" min="8" style="1" width="10"/>
    <col collapsed="false" customWidth="true" hidden="false" outlineLevel="0" max="9" min="9" style="1" width="16"/>
    <col collapsed="false" customWidth="true" hidden="false" outlineLevel="0" max="10" min="10" style="1" width="17"/>
  </cols>
  <sheetData>
    <row r="1" customFormat="false" ht="33.75" hidden="false" customHeight="true" outlineLevel="0" collapsed="false">
      <c r="A1" s="2" t="s">
        <v>59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21.75" hidden="false" customHeight="true" outlineLevel="0" collapsed="false">
      <c r="A3" s="20" t="s">
        <v>60</v>
      </c>
      <c r="B3" s="20" t="s">
        <v>61</v>
      </c>
      <c r="C3" s="20" t="s">
        <v>62</v>
      </c>
      <c r="D3" s="20" t="s">
        <v>39</v>
      </c>
      <c r="E3" s="20" t="s">
        <v>63</v>
      </c>
      <c r="F3" s="20" t="s">
        <v>64</v>
      </c>
      <c r="G3" s="20" t="s">
        <v>65</v>
      </c>
      <c r="H3" s="20" t="s">
        <v>41</v>
      </c>
      <c r="I3" s="20" t="s">
        <v>66</v>
      </c>
      <c r="J3" s="20" t="s">
        <v>67</v>
      </c>
    </row>
    <row r="4" customFormat="false" ht="15" hidden="false" customHeight="true" outlineLevel="0" collapsed="false">
      <c r="A4" s="35" t="n">
        <v>45292</v>
      </c>
      <c r="B4" s="8" t="s">
        <v>68</v>
      </c>
      <c r="C4" s="8" t="s">
        <v>69</v>
      </c>
      <c r="D4" s="8" t="s">
        <v>43</v>
      </c>
      <c r="E4" s="36" t="n">
        <v>398</v>
      </c>
      <c r="F4" s="21" t="n">
        <v>3898.31</v>
      </c>
      <c r="G4" s="37" t="n">
        <f aca="false">E4*F4</f>
        <v>1551527.38</v>
      </c>
      <c r="H4" s="38" t="n">
        <f aca="false">IFERROR(xlookup(D4,'Lookup Reference'!$A$4:$A$6,'Lookup Reference'!$C$4:$C$6),INDEX('Lookup Reference'!$C$4:$C$6,MATCH(D4,'Lookup Reference'!$A$4:$A$6,0)))</f>
        <v>0.46</v>
      </c>
      <c r="I4" s="37" t="n">
        <f aca="false">G4*H4</f>
        <v>713702.5948</v>
      </c>
      <c r="J4" s="37" t="n">
        <f aca="false">G4-I4</f>
        <v>837824.7852</v>
      </c>
    </row>
    <row r="5" customFormat="false" ht="15" hidden="false" customHeight="true" outlineLevel="0" collapsed="false">
      <c r="A5" s="39" t="n">
        <v>45292</v>
      </c>
      <c r="B5" s="24" t="s">
        <v>68</v>
      </c>
      <c r="C5" s="24" t="s">
        <v>69</v>
      </c>
      <c r="D5" s="24" t="s">
        <v>44</v>
      </c>
      <c r="E5" s="40" t="n">
        <v>226</v>
      </c>
      <c r="F5" s="25" t="n">
        <v>6414.74</v>
      </c>
      <c r="G5" s="41" t="n">
        <f aca="false">E5*F5</f>
        <v>1449731.24</v>
      </c>
      <c r="H5" s="42" t="n">
        <f aca="false">IFERROR(xlookup(D5,'Lookup Reference'!$A$4:$A$6,'Lookup Reference'!$C$4:$C$6),INDEX('Lookup Reference'!$C$4:$C$6,MATCH(D5,'Lookup Reference'!$A$4:$A$6,0)))</f>
        <v>0.52</v>
      </c>
      <c r="I5" s="41" t="n">
        <f aca="false">G5*H5</f>
        <v>753860.2448</v>
      </c>
      <c r="J5" s="41" t="n">
        <f aca="false">G5-I5</f>
        <v>695870.9952</v>
      </c>
    </row>
    <row r="6" customFormat="false" ht="15" hidden="false" customHeight="true" outlineLevel="0" collapsed="false">
      <c r="A6" s="35" t="n">
        <v>45292</v>
      </c>
      <c r="B6" s="8" t="s">
        <v>68</v>
      </c>
      <c r="C6" s="8" t="s">
        <v>69</v>
      </c>
      <c r="D6" s="8" t="s">
        <v>45</v>
      </c>
      <c r="E6" s="36" t="n">
        <v>330</v>
      </c>
      <c r="F6" s="21" t="n">
        <v>2347.39</v>
      </c>
      <c r="G6" s="37" t="n">
        <f aca="false">E6*F6</f>
        <v>774638.7</v>
      </c>
      <c r="H6" s="38" t="n">
        <f aca="false">IFERROR(xlookup(D6,'Lookup Reference'!$A$4:$A$6,'Lookup Reference'!$C$4:$C$6),INDEX('Lookup Reference'!$C$4:$C$6,MATCH(D6,'Lookup Reference'!$A$4:$A$6,0)))</f>
        <v>0.38</v>
      </c>
      <c r="I6" s="37" t="n">
        <f aca="false">G6*H6</f>
        <v>294362.706</v>
      </c>
      <c r="J6" s="37" t="n">
        <f aca="false">G6-I6</f>
        <v>480275.994</v>
      </c>
    </row>
    <row r="7" customFormat="false" ht="15" hidden="false" customHeight="true" outlineLevel="0" collapsed="false">
      <c r="A7" s="39" t="n">
        <v>45292</v>
      </c>
      <c r="B7" s="24" t="s">
        <v>68</v>
      </c>
      <c r="C7" s="24" t="s">
        <v>70</v>
      </c>
      <c r="D7" s="24" t="s">
        <v>43</v>
      </c>
      <c r="E7" s="40" t="n">
        <v>371</v>
      </c>
      <c r="F7" s="25" t="n">
        <v>3918.37</v>
      </c>
      <c r="G7" s="41" t="n">
        <f aca="false">E7*F7</f>
        <v>1453715.27</v>
      </c>
      <c r="H7" s="42" t="n">
        <f aca="false">IFERROR(xlookup(D7,'Lookup Reference'!$A$4:$A$6,'Lookup Reference'!$C$4:$C$6),INDEX('Lookup Reference'!$C$4:$C$6,MATCH(D7,'Lookup Reference'!$A$4:$A$6,0)))</f>
        <v>0.46</v>
      </c>
      <c r="I7" s="41" t="n">
        <f aca="false">G7*H7</f>
        <v>668709.0242</v>
      </c>
      <c r="J7" s="41" t="n">
        <f aca="false">G7-I7</f>
        <v>785006.2458</v>
      </c>
    </row>
    <row r="8" customFormat="false" ht="15" hidden="false" customHeight="true" outlineLevel="0" collapsed="false">
      <c r="A8" s="35" t="n">
        <v>45292</v>
      </c>
      <c r="B8" s="8" t="s">
        <v>68</v>
      </c>
      <c r="C8" s="8" t="s">
        <v>70</v>
      </c>
      <c r="D8" s="8" t="s">
        <v>44</v>
      </c>
      <c r="E8" s="36" t="n">
        <v>206</v>
      </c>
      <c r="F8" s="21" t="n">
        <v>6314.46</v>
      </c>
      <c r="G8" s="37" t="n">
        <f aca="false">E8*F8</f>
        <v>1300778.76</v>
      </c>
      <c r="H8" s="38" t="n">
        <f aca="false">IFERROR(xlookup(D8,'Lookup Reference'!$A$4:$A$6,'Lookup Reference'!$C$4:$C$6),INDEX('Lookup Reference'!$C$4:$C$6,MATCH(D8,'Lookup Reference'!$A$4:$A$6,0)))</f>
        <v>0.52</v>
      </c>
      <c r="I8" s="37" t="n">
        <f aca="false">G8*H8</f>
        <v>676404.9552</v>
      </c>
      <c r="J8" s="37" t="n">
        <f aca="false">G8-I8</f>
        <v>624373.8048</v>
      </c>
    </row>
    <row r="9" customFormat="false" ht="15" hidden="false" customHeight="true" outlineLevel="0" collapsed="false">
      <c r="A9" s="39" t="n">
        <v>45292</v>
      </c>
      <c r="B9" s="24" t="s">
        <v>68</v>
      </c>
      <c r="C9" s="24" t="s">
        <v>70</v>
      </c>
      <c r="D9" s="24" t="s">
        <v>45</v>
      </c>
      <c r="E9" s="40" t="n">
        <v>256</v>
      </c>
      <c r="F9" s="25" t="n">
        <v>2315.88</v>
      </c>
      <c r="G9" s="41" t="n">
        <f aca="false">E9*F9</f>
        <v>592865.28</v>
      </c>
      <c r="H9" s="42" t="n">
        <f aca="false">IFERROR(xlookup(D9,'Lookup Reference'!$A$4:$A$6,'Lookup Reference'!$C$4:$C$6),INDEX('Lookup Reference'!$C$4:$C$6,MATCH(D9,'Lookup Reference'!$A$4:$A$6,0)))</f>
        <v>0.38</v>
      </c>
      <c r="I9" s="41" t="n">
        <f aca="false">G9*H9</f>
        <v>225288.8064</v>
      </c>
      <c r="J9" s="41" t="n">
        <f aca="false">G9-I9</f>
        <v>367576.4736</v>
      </c>
    </row>
    <row r="10" customFormat="false" ht="15" hidden="false" customHeight="true" outlineLevel="0" collapsed="false">
      <c r="A10" s="35" t="n">
        <v>45292</v>
      </c>
      <c r="B10" s="8" t="s">
        <v>68</v>
      </c>
      <c r="C10" s="8" t="s">
        <v>71</v>
      </c>
      <c r="D10" s="8" t="s">
        <v>43</v>
      </c>
      <c r="E10" s="36" t="n">
        <v>364</v>
      </c>
      <c r="F10" s="21" t="n">
        <v>3954.65</v>
      </c>
      <c r="G10" s="37" t="n">
        <f aca="false">E10*F10</f>
        <v>1439492.6</v>
      </c>
      <c r="H10" s="38" t="n">
        <f aca="false">IFERROR(xlookup(D10,'Lookup Reference'!$A$4:$A$6,'Lookup Reference'!$C$4:$C$6),INDEX('Lookup Reference'!$C$4:$C$6,MATCH(D10,'Lookup Reference'!$A$4:$A$6,0)))</f>
        <v>0.46</v>
      </c>
      <c r="I10" s="37" t="n">
        <f aca="false">G10*H10</f>
        <v>662166.596</v>
      </c>
      <c r="J10" s="37" t="n">
        <f aca="false">G10-I10</f>
        <v>777326.004</v>
      </c>
    </row>
    <row r="11" customFormat="false" ht="15" hidden="false" customHeight="true" outlineLevel="0" collapsed="false">
      <c r="A11" s="39" t="n">
        <v>45292</v>
      </c>
      <c r="B11" s="24" t="s">
        <v>68</v>
      </c>
      <c r="C11" s="24" t="s">
        <v>71</v>
      </c>
      <c r="D11" s="24" t="s">
        <v>44</v>
      </c>
      <c r="E11" s="40" t="n">
        <v>263</v>
      </c>
      <c r="F11" s="25" t="n">
        <v>6581.86</v>
      </c>
      <c r="G11" s="41" t="n">
        <f aca="false">E11*F11</f>
        <v>1731029.18</v>
      </c>
      <c r="H11" s="42" t="n">
        <f aca="false">IFERROR(xlookup(D11,'Lookup Reference'!$A$4:$A$6,'Lookup Reference'!$C$4:$C$6),INDEX('Lookup Reference'!$C$4:$C$6,MATCH(D11,'Lookup Reference'!$A$4:$A$6,0)))</f>
        <v>0.52</v>
      </c>
      <c r="I11" s="41" t="n">
        <f aca="false">G11*H11</f>
        <v>900135.1736</v>
      </c>
      <c r="J11" s="41" t="n">
        <f aca="false">G11-I11</f>
        <v>830894.0064</v>
      </c>
    </row>
    <row r="12" customFormat="false" ht="15" hidden="false" customHeight="true" outlineLevel="0" collapsed="false">
      <c r="A12" s="35" t="n">
        <v>45292</v>
      </c>
      <c r="B12" s="8" t="s">
        <v>68</v>
      </c>
      <c r="C12" s="8" t="s">
        <v>71</v>
      </c>
      <c r="D12" s="8" t="s">
        <v>45</v>
      </c>
      <c r="E12" s="36" t="n">
        <v>310</v>
      </c>
      <c r="F12" s="21" t="n">
        <v>2331.16</v>
      </c>
      <c r="G12" s="37" t="n">
        <f aca="false">E12*F12</f>
        <v>722659.6</v>
      </c>
      <c r="H12" s="38" t="n">
        <f aca="false">IFERROR(xlookup(D12,'Lookup Reference'!$A$4:$A$6,'Lookup Reference'!$C$4:$C$6),INDEX('Lookup Reference'!$C$4:$C$6,MATCH(D12,'Lookup Reference'!$A$4:$A$6,0)))</f>
        <v>0.38</v>
      </c>
      <c r="I12" s="37" t="n">
        <f aca="false">G12*H12</f>
        <v>274610.648</v>
      </c>
      <c r="J12" s="37" t="n">
        <f aca="false">G12-I12</f>
        <v>448048.952</v>
      </c>
    </row>
    <row r="13" customFormat="false" ht="15" hidden="false" customHeight="true" outlineLevel="0" collapsed="false">
      <c r="A13" s="39" t="n">
        <v>45292</v>
      </c>
      <c r="B13" s="24" t="s">
        <v>68</v>
      </c>
      <c r="C13" s="24" t="s">
        <v>72</v>
      </c>
      <c r="D13" s="24" t="s">
        <v>43</v>
      </c>
      <c r="E13" s="40" t="n">
        <v>384</v>
      </c>
      <c r="F13" s="25" t="n">
        <v>3892.58</v>
      </c>
      <c r="G13" s="41" t="n">
        <f aca="false">E13*F13</f>
        <v>1494750.72</v>
      </c>
      <c r="H13" s="42" t="n">
        <f aca="false">IFERROR(xlookup(D13,'Lookup Reference'!$A$4:$A$6,'Lookup Reference'!$C$4:$C$6),INDEX('Lookup Reference'!$C$4:$C$6,MATCH(D13,'Lookup Reference'!$A$4:$A$6,0)))</f>
        <v>0.46</v>
      </c>
      <c r="I13" s="41" t="n">
        <f aca="false">G13*H13</f>
        <v>687585.3312</v>
      </c>
      <c r="J13" s="41" t="n">
        <f aca="false">G13-I13</f>
        <v>807165.3888</v>
      </c>
    </row>
    <row r="14" customFormat="false" ht="15" hidden="false" customHeight="true" outlineLevel="0" collapsed="false">
      <c r="A14" s="35" t="n">
        <v>45292</v>
      </c>
      <c r="B14" s="8" t="s">
        <v>68</v>
      </c>
      <c r="C14" s="8" t="s">
        <v>72</v>
      </c>
      <c r="D14" s="8" t="s">
        <v>44</v>
      </c>
      <c r="E14" s="36" t="n">
        <v>237</v>
      </c>
      <c r="F14" s="21" t="n">
        <v>6662.08</v>
      </c>
      <c r="G14" s="37" t="n">
        <f aca="false">E14*F14</f>
        <v>1578912.96</v>
      </c>
      <c r="H14" s="38" t="n">
        <f aca="false">IFERROR(xlookup(D14,'Lookup Reference'!$A$4:$A$6,'Lookup Reference'!$C$4:$C$6),INDEX('Lookup Reference'!$C$4:$C$6,MATCH(D14,'Lookup Reference'!$A$4:$A$6,0)))</f>
        <v>0.52</v>
      </c>
      <c r="I14" s="37" t="n">
        <f aca="false">G14*H14</f>
        <v>821034.7392</v>
      </c>
      <c r="J14" s="37" t="n">
        <f aca="false">G14-I14</f>
        <v>757878.2208</v>
      </c>
    </row>
    <row r="15" customFormat="false" ht="15" hidden="false" customHeight="true" outlineLevel="0" collapsed="false">
      <c r="A15" s="39" t="n">
        <v>45292</v>
      </c>
      <c r="B15" s="24" t="s">
        <v>68</v>
      </c>
      <c r="C15" s="24" t="s">
        <v>72</v>
      </c>
      <c r="D15" s="24" t="s">
        <v>45</v>
      </c>
      <c r="E15" s="40" t="n">
        <v>278</v>
      </c>
      <c r="F15" s="25" t="n">
        <v>2251.89</v>
      </c>
      <c r="G15" s="41" t="n">
        <f aca="false">E15*F15</f>
        <v>626025.42</v>
      </c>
      <c r="H15" s="42" t="n">
        <f aca="false">IFERROR(xlookup(D15,'Lookup Reference'!$A$4:$A$6,'Lookup Reference'!$C$4:$C$6),INDEX('Lookup Reference'!$C$4:$C$6,MATCH(D15,'Lookup Reference'!$A$4:$A$6,0)))</f>
        <v>0.38</v>
      </c>
      <c r="I15" s="41" t="n">
        <f aca="false">G15*H15</f>
        <v>237889.6596</v>
      </c>
      <c r="J15" s="41" t="n">
        <f aca="false">G15-I15</f>
        <v>388135.7604</v>
      </c>
    </row>
    <row r="16" customFormat="false" ht="15" hidden="false" customHeight="true" outlineLevel="0" collapsed="false">
      <c r="A16" s="35" t="n">
        <v>45323</v>
      </c>
      <c r="B16" s="8" t="s">
        <v>73</v>
      </c>
      <c r="C16" s="8" t="s">
        <v>69</v>
      </c>
      <c r="D16" s="8" t="s">
        <v>43</v>
      </c>
      <c r="E16" s="36" t="n">
        <v>418</v>
      </c>
      <c r="F16" s="21" t="n">
        <v>3998.58</v>
      </c>
      <c r="G16" s="37" t="n">
        <f aca="false">E16*F16</f>
        <v>1671406.44</v>
      </c>
      <c r="H16" s="38" t="n">
        <f aca="false">IFERROR(xlookup(D16,'Lookup Reference'!$A$4:$A$6,'Lookup Reference'!$C$4:$C$6),INDEX('Lookup Reference'!$C$4:$C$6,MATCH(D16,'Lookup Reference'!$A$4:$A$6,0)))</f>
        <v>0.46</v>
      </c>
      <c r="I16" s="37" t="n">
        <f aca="false">G16*H16</f>
        <v>768846.9624</v>
      </c>
      <c r="J16" s="37" t="n">
        <f aca="false">G16-I16</f>
        <v>902559.4776</v>
      </c>
    </row>
    <row r="17" customFormat="false" ht="15" hidden="false" customHeight="true" outlineLevel="0" collapsed="false">
      <c r="A17" s="39" t="n">
        <v>45323</v>
      </c>
      <c r="B17" s="24" t="s">
        <v>73</v>
      </c>
      <c r="C17" s="24" t="s">
        <v>69</v>
      </c>
      <c r="D17" s="24" t="s">
        <v>44</v>
      </c>
      <c r="E17" s="40" t="n">
        <v>210</v>
      </c>
      <c r="F17" s="25" t="n">
        <v>6349.79</v>
      </c>
      <c r="G17" s="41" t="n">
        <f aca="false">E17*F17</f>
        <v>1333455.9</v>
      </c>
      <c r="H17" s="42" t="n">
        <f aca="false">IFERROR(xlookup(D17,'Lookup Reference'!$A$4:$A$6,'Lookup Reference'!$C$4:$C$6),INDEX('Lookup Reference'!$C$4:$C$6,MATCH(D17,'Lookup Reference'!$A$4:$A$6,0)))</f>
        <v>0.52</v>
      </c>
      <c r="I17" s="41" t="n">
        <f aca="false">G17*H17</f>
        <v>693397.068</v>
      </c>
      <c r="J17" s="41" t="n">
        <f aca="false">G17-I17</f>
        <v>640058.832</v>
      </c>
    </row>
    <row r="18" customFormat="false" ht="15" hidden="false" customHeight="true" outlineLevel="0" collapsed="false">
      <c r="A18" s="35" t="n">
        <v>45323</v>
      </c>
      <c r="B18" s="8" t="s">
        <v>73</v>
      </c>
      <c r="C18" s="8" t="s">
        <v>69</v>
      </c>
      <c r="D18" s="8" t="s">
        <v>45</v>
      </c>
      <c r="E18" s="36" t="n">
        <v>330</v>
      </c>
      <c r="F18" s="21" t="n">
        <v>2334.02</v>
      </c>
      <c r="G18" s="37" t="n">
        <f aca="false">E18*F18</f>
        <v>770226.6</v>
      </c>
      <c r="H18" s="38" t="n">
        <f aca="false">IFERROR(xlookup(D18,'Lookup Reference'!$A$4:$A$6,'Lookup Reference'!$C$4:$C$6),INDEX('Lookup Reference'!$C$4:$C$6,MATCH(D18,'Lookup Reference'!$A$4:$A$6,0)))</f>
        <v>0.38</v>
      </c>
      <c r="I18" s="37" t="n">
        <f aca="false">G18*H18</f>
        <v>292686.108</v>
      </c>
      <c r="J18" s="37" t="n">
        <f aca="false">G18-I18</f>
        <v>477540.492</v>
      </c>
    </row>
    <row r="19" customFormat="false" ht="15" hidden="false" customHeight="true" outlineLevel="0" collapsed="false">
      <c r="A19" s="39" t="n">
        <v>45323</v>
      </c>
      <c r="B19" s="24" t="s">
        <v>73</v>
      </c>
      <c r="C19" s="24" t="s">
        <v>70</v>
      </c>
      <c r="D19" s="24" t="s">
        <v>43</v>
      </c>
      <c r="E19" s="40" t="n">
        <v>356</v>
      </c>
      <c r="F19" s="25" t="n">
        <v>4124.64</v>
      </c>
      <c r="G19" s="41" t="n">
        <f aca="false">E19*F19</f>
        <v>1468371.84</v>
      </c>
      <c r="H19" s="42" t="n">
        <f aca="false">IFERROR(xlookup(D19,'Lookup Reference'!$A$4:$A$6,'Lookup Reference'!$C$4:$C$6),INDEX('Lookup Reference'!$C$4:$C$6,MATCH(D19,'Lookup Reference'!$A$4:$A$6,0)))</f>
        <v>0.46</v>
      </c>
      <c r="I19" s="41" t="n">
        <f aca="false">G19*H19</f>
        <v>675451.0464</v>
      </c>
      <c r="J19" s="41" t="n">
        <f aca="false">G19-I19</f>
        <v>792920.7936</v>
      </c>
    </row>
    <row r="20" customFormat="false" ht="15" hidden="false" customHeight="true" outlineLevel="0" collapsed="false">
      <c r="A20" s="35" t="n">
        <v>45323</v>
      </c>
      <c r="B20" s="8" t="s">
        <v>73</v>
      </c>
      <c r="C20" s="8" t="s">
        <v>70</v>
      </c>
      <c r="D20" s="8" t="s">
        <v>44</v>
      </c>
      <c r="E20" s="36" t="n">
        <v>207</v>
      </c>
      <c r="F20" s="21" t="n">
        <v>6804.38</v>
      </c>
      <c r="G20" s="37" t="n">
        <f aca="false">E20*F20</f>
        <v>1408506.66</v>
      </c>
      <c r="H20" s="38" t="n">
        <f aca="false">IFERROR(xlookup(D20,'Lookup Reference'!$A$4:$A$6,'Lookup Reference'!$C$4:$C$6),INDEX('Lookup Reference'!$C$4:$C$6,MATCH(D20,'Lookup Reference'!$A$4:$A$6,0)))</f>
        <v>0.52</v>
      </c>
      <c r="I20" s="37" t="n">
        <f aca="false">G20*H20</f>
        <v>732423.4632</v>
      </c>
      <c r="J20" s="37" t="n">
        <f aca="false">G20-I20</f>
        <v>676083.1968</v>
      </c>
    </row>
    <row r="21" customFormat="false" ht="15" hidden="false" customHeight="true" outlineLevel="0" collapsed="false">
      <c r="A21" s="39" t="n">
        <v>45323</v>
      </c>
      <c r="B21" s="24" t="s">
        <v>73</v>
      </c>
      <c r="C21" s="24" t="s">
        <v>70</v>
      </c>
      <c r="D21" s="24" t="s">
        <v>45</v>
      </c>
      <c r="E21" s="40" t="n">
        <v>260</v>
      </c>
      <c r="F21" s="25" t="n">
        <v>2324.47</v>
      </c>
      <c r="G21" s="41" t="n">
        <f aca="false">E21*F21</f>
        <v>604362.2</v>
      </c>
      <c r="H21" s="42" t="n">
        <f aca="false">IFERROR(xlookup(D21,'Lookup Reference'!$A$4:$A$6,'Lookup Reference'!$C$4:$C$6),INDEX('Lookup Reference'!$C$4:$C$6,MATCH(D21,'Lookup Reference'!$A$4:$A$6,0)))</f>
        <v>0.38</v>
      </c>
      <c r="I21" s="41" t="n">
        <f aca="false">G21*H21</f>
        <v>229657.636</v>
      </c>
      <c r="J21" s="41" t="n">
        <f aca="false">G21-I21</f>
        <v>374704.564</v>
      </c>
    </row>
    <row r="22" customFormat="false" ht="15" hidden="false" customHeight="true" outlineLevel="0" collapsed="false">
      <c r="A22" s="35" t="n">
        <v>45323</v>
      </c>
      <c r="B22" s="8" t="s">
        <v>73</v>
      </c>
      <c r="C22" s="8" t="s">
        <v>71</v>
      </c>
      <c r="D22" s="8" t="s">
        <v>43</v>
      </c>
      <c r="E22" s="36" t="n">
        <v>432</v>
      </c>
      <c r="F22" s="21" t="n">
        <v>4089.31</v>
      </c>
      <c r="G22" s="37" t="n">
        <f aca="false">E22*F22</f>
        <v>1766581.92</v>
      </c>
      <c r="H22" s="38" t="n">
        <f aca="false">IFERROR(xlookup(D22,'Lookup Reference'!$A$4:$A$6,'Lookup Reference'!$C$4:$C$6),INDEX('Lookup Reference'!$C$4:$C$6,MATCH(D22,'Lookup Reference'!$A$4:$A$6,0)))</f>
        <v>0.46</v>
      </c>
      <c r="I22" s="37" t="n">
        <f aca="false">G22*H22</f>
        <v>812627.6832</v>
      </c>
      <c r="J22" s="37" t="n">
        <f aca="false">G22-I22</f>
        <v>953954.2368</v>
      </c>
    </row>
    <row r="23" customFormat="false" ht="15" hidden="false" customHeight="true" outlineLevel="0" collapsed="false">
      <c r="A23" s="39" t="n">
        <v>45323</v>
      </c>
      <c r="B23" s="24" t="s">
        <v>73</v>
      </c>
      <c r="C23" s="24" t="s">
        <v>71</v>
      </c>
      <c r="D23" s="24" t="s">
        <v>44</v>
      </c>
      <c r="E23" s="40" t="n">
        <v>270</v>
      </c>
      <c r="F23" s="25" t="n">
        <v>6599.05</v>
      </c>
      <c r="G23" s="41" t="n">
        <f aca="false">E23*F23</f>
        <v>1781743.5</v>
      </c>
      <c r="H23" s="42" t="n">
        <f aca="false">IFERROR(xlookup(D23,'Lookup Reference'!$A$4:$A$6,'Lookup Reference'!$C$4:$C$6),INDEX('Lookup Reference'!$C$4:$C$6,MATCH(D23,'Lookup Reference'!$A$4:$A$6,0)))</f>
        <v>0.52</v>
      </c>
      <c r="I23" s="41" t="n">
        <f aca="false">G23*H23</f>
        <v>926506.62</v>
      </c>
      <c r="J23" s="41" t="n">
        <f aca="false">G23-I23</f>
        <v>855236.88</v>
      </c>
    </row>
    <row r="24" customFormat="false" ht="15" hidden="false" customHeight="true" outlineLevel="0" collapsed="false">
      <c r="A24" s="35" t="n">
        <v>45323</v>
      </c>
      <c r="B24" s="8" t="s">
        <v>73</v>
      </c>
      <c r="C24" s="8" t="s">
        <v>71</v>
      </c>
      <c r="D24" s="8" t="s">
        <v>45</v>
      </c>
      <c r="E24" s="36" t="n">
        <v>340</v>
      </c>
      <c r="F24" s="21" t="n">
        <v>2231.84</v>
      </c>
      <c r="G24" s="37" t="n">
        <f aca="false">E24*F24</f>
        <v>758825.6</v>
      </c>
      <c r="H24" s="38" t="n">
        <f aca="false">IFERROR(xlookup(D24,'Lookup Reference'!$A$4:$A$6,'Lookup Reference'!$C$4:$C$6),INDEX('Lookup Reference'!$C$4:$C$6,MATCH(D24,'Lookup Reference'!$A$4:$A$6,0)))</f>
        <v>0.38</v>
      </c>
      <c r="I24" s="37" t="n">
        <f aca="false">G24*H24</f>
        <v>288353.728</v>
      </c>
      <c r="J24" s="37" t="n">
        <f aca="false">G24-I24</f>
        <v>470471.872</v>
      </c>
    </row>
    <row r="25" customFormat="false" ht="15" hidden="false" customHeight="true" outlineLevel="0" collapsed="false">
      <c r="A25" s="39" t="n">
        <v>45323</v>
      </c>
      <c r="B25" s="24" t="s">
        <v>73</v>
      </c>
      <c r="C25" s="24" t="s">
        <v>72</v>
      </c>
      <c r="D25" s="24" t="s">
        <v>43</v>
      </c>
      <c r="E25" s="40" t="n">
        <v>326</v>
      </c>
      <c r="F25" s="25" t="n">
        <v>3983.31</v>
      </c>
      <c r="G25" s="41" t="n">
        <f aca="false">E25*F25</f>
        <v>1298559.06</v>
      </c>
      <c r="H25" s="42" t="n">
        <f aca="false">IFERROR(xlookup(D25,'Lookup Reference'!$A$4:$A$6,'Lookup Reference'!$C$4:$C$6),INDEX('Lookup Reference'!$C$4:$C$6,MATCH(D25,'Lookup Reference'!$A$4:$A$6,0)))</f>
        <v>0.46</v>
      </c>
      <c r="I25" s="41" t="n">
        <f aca="false">G25*H25</f>
        <v>597337.1676</v>
      </c>
      <c r="J25" s="41" t="n">
        <f aca="false">G25-I25</f>
        <v>701221.8924</v>
      </c>
    </row>
    <row r="26" customFormat="false" ht="15" hidden="false" customHeight="true" outlineLevel="0" collapsed="false">
      <c r="A26" s="35" t="n">
        <v>45323</v>
      </c>
      <c r="B26" s="8" t="s">
        <v>73</v>
      </c>
      <c r="C26" s="8" t="s">
        <v>72</v>
      </c>
      <c r="D26" s="8" t="s">
        <v>44</v>
      </c>
      <c r="E26" s="36" t="n">
        <v>194</v>
      </c>
      <c r="F26" s="21" t="n">
        <v>6420.47</v>
      </c>
      <c r="G26" s="37" t="n">
        <f aca="false">E26*F26</f>
        <v>1245571.18</v>
      </c>
      <c r="H26" s="38" t="n">
        <f aca="false">IFERROR(xlookup(D26,'Lookup Reference'!$A$4:$A$6,'Lookup Reference'!$C$4:$C$6),INDEX('Lookup Reference'!$C$4:$C$6,MATCH(D26,'Lookup Reference'!$A$4:$A$6,0)))</f>
        <v>0.52</v>
      </c>
      <c r="I26" s="37" t="n">
        <f aca="false">G26*H26</f>
        <v>647697.0136</v>
      </c>
      <c r="J26" s="37" t="n">
        <f aca="false">G26-I26</f>
        <v>597874.1664</v>
      </c>
    </row>
    <row r="27" customFormat="false" ht="15" hidden="false" customHeight="true" outlineLevel="0" collapsed="false">
      <c r="A27" s="39" t="n">
        <v>45323</v>
      </c>
      <c r="B27" s="24" t="s">
        <v>73</v>
      </c>
      <c r="C27" s="24" t="s">
        <v>72</v>
      </c>
      <c r="D27" s="24" t="s">
        <v>45</v>
      </c>
      <c r="E27" s="40" t="n">
        <v>255</v>
      </c>
      <c r="F27" s="25" t="n">
        <v>2273.86</v>
      </c>
      <c r="G27" s="41" t="n">
        <f aca="false">E27*F27</f>
        <v>579834.3</v>
      </c>
      <c r="H27" s="42" t="n">
        <f aca="false">IFERROR(xlookup(D27,'Lookup Reference'!$A$4:$A$6,'Lookup Reference'!$C$4:$C$6),INDEX('Lookup Reference'!$C$4:$C$6,MATCH(D27,'Lookup Reference'!$A$4:$A$6,0)))</f>
        <v>0.38</v>
      </c>
      <c r="I27" s="41" t="n">
        <f aca="false">G27*H27</f>
        <v>220337.034</v>
      </c>
      <c r="J27" s="41" t="n">
        <f aca="false">G27-I27</f>
        <v>359497.266</v>
      </c>
    </row>
    <row r="28" customFormat="false" ht="15" hidden="false" customHeight="true" outlineLevel="0" collapsed="false">
      <c r="A28" s="35" t="n">
        <v>45352</v>
      </c>
      <c r="B28" s="8" t="s">
        <v>74</v>
      </c>
      <c r="C28" s="8" t="s">
        <v>69</v>
      </c>
      <c r="D28" s="8" t="s">
        <v>43</v>
      </c>
      <c r="E28" s="36" t="n">
        <v>456</v>
      </c>
      <c r="F28" s="21" t="n">
        <v>4008.13</v>
      </c>
      <c r="G28" s="37" t="n">
        <f aca="false">E28*F28</f>
        <v>1827707.28</v>
      </c>
      <c r="H28" s="38" t="n">
        <f aca="false">IFERROR(xlookup(D28,'Lookup Reference'!$A$4:$A$6,'Lookup Reference'!$C$4:$C$6),INDEX('Lookup Reference'!$C$4:$C$6,MATCH(D28,'Lookup Reference'!$A$4:$A$6,0)))</f>
        <v>0.46</v>
      </c>
      <c r="I28" s="37" t="n">
        <f aca="false">G28*H28</f>
        <v>840745.3488</v>
      </c>
      <c r="J28" s="37" t="n">
        <f aca="false">G28-I28</f>
        <v>986961.9312</v>
      </c>
    </row>
    <row r="29" customFormat="false" ht="15" hidden="false" customHeight="true" outlineLevel="0" collapsed="false">
      <c r="A29" s="39" t="n">
        <v>45352</v>
      </c>
      <c r="B29" s="24" t="s">
        <v>74</v>
      </c>
      <c r="C29" s="24" t="s">
        <v>69</v>
      </c>
      <c r="D29" s="24" t="s">
        <v>44</v>
      </c>
      <c r="E29" s="40" t="n">
        <v>265</v>
      </c>
      <c r="F29" s="25" t="n">
        <v>6408.05</v>
      </c>
      <c r="G29" s="41" t="n">
        <f aca="false">E29*F29</f>
        <v>1698133.25</v>
      </c>
      <c r="H29" s="42" t="n">
        <f aca="false">IFERROR(xlookup(D29,'Lookup Reference'!$A$4:$A$6,'Lookup Reference'!$C$4:$C$6),INDEX('Lookup Reference'!$C$4:$C$6,MATCH(D29,'Lookup Reference'!$A$4:$A$6,0)))</f>
        <v>0.52</v>
      </c>
      <c r="I29" s="41" t="n">
        <f aca="false">G29*H29</f>
        <v>883029.29</v>
      </c>
      <c r="J29" s="41" t="n">
        <f aca="false">G29-I29</f>
        <v>815103.96</v>
      </c>
    </row>
    <row r="30" customFormat="false" ht="15" hidden="false" customHeight="true" outlineLevel="0" collapsed="false">
      <c r="A30" s="35" t="n">
        <v>45352</v>
      </c>
      <c r="B30" s="8" t="s">
        <v>74</v>
      </c>
      <c r="C30" s="8" t="s">
        <v>69</v>
      </c>
      <c r="D30" s="8" t="s">
        <v>45</v>
      </c>
      <c r="E30" s="36" t="n">
        <v>337</v>
      </c>
      <c r="F30" s="21" t="n">
        <v>2395.14</v>
      </c>
      <c r="G30" s="37" t="n">
        <f aca="false">E30*F30</f>
        <v>807162.18</v>
      </c>
      <c r="H30" s="38" t="n">
        <f aca="false">IFERROR(xlookup(D30,'Lookup Reference'!$A$4:$A$6,'Lookup Reference'!$C$4:$C$6),INDEX('Lookup Reference'!$C$4:$C$6,MATCH(D30,'Lookup Reference'!$A$4:$A$6,0)))</f>
        <v>0.38</v>
      </c>
      <c r="I30" s="37" t="n">
        <f aca="false">G30*H30</f>
        <v>306721.6284</v>
      </c>
      <c r="J30" s="37" t="n">
        <f aca="false">G30-I30</f>
        <v>500440.5516</v>
      </c>
    </row>
    <row r="31" customFormat="false" ht="15" hidden="false" customHeight="true" outlineLevel="0" collapsed="false">
      <c r="A31" s="39" t="n">
        <v>45352</v>
      </c>
      <c r="B31" s="24" t="s">
        <v>74</v>
      </c>
      <c r="C31" s="24" t="s">
        <v>70</v>
      </c>
      <c r="D31" s="24" t="s">
        <v>43</v>
      </c>
      <c r="E31" s="40" t="n">
        <v>402</v>
      </c>
      <c r="F31" s="25" t="n">
        <v>4086.44</v>
      </c>
      <c r="G31" s="41" t="n">
        <f aca="false">E31*F31</f>
        <v>1642748.88</v>
      </c>
      <c r="H31" s="42" t="n">
        <f aca="false">IFERROR(xlookup(D31,'Lookup Reference'!$A$4:$A$6,'Lookup Reference'!$C$4:$C$6),INDEX('Lookup Reference'!$C$4:$C$6,MATCH(D31,'Lookup Reference'!$A$4:$A$6,0)))</f>
        <v>0.46</v>
      </c>
      <c r="I31" s="41" t="n">
        <f aca="false">G31*H31</f>
        <v>755664.4848</v>
      </c>
      <c r="J31" s="41" t="n">
        <f aca="false">G31-I31</f>
        <v>887084.3952</v>
      </c>
    </row>
    <row r="32" customFormat="false" ht="15" hidden="false" customHeight="true" outlineLevel="0" collapsed="false">
      <c r="A32" s="35" t="n">
        <v>45352</v>
      </c>
      <c r="B32" s="8" t="s">
        <v>74</v>
      </c>
      <c r="C32" s="8" t="s">
        <v>70</v>
      </c>
      <c r="D32" s="8" t="s">
        <v>44</v>
      </c>
      <c r="E32" s="36" t="n">
        <v>221</v>
      </c>
      <c r="F32" s="21" t="n">
        <v>6678.32</v>
      </c>
      <c r="G32" s="37" t="n">
        <f aca="false">E32*F32</f>
        <v>1475908.72</v>
      </c>
      <c r="H32" s="38" t="n">
        <f aca="false">IFERROR(xlookup(D32,'Lookup Reference'!$A$4:$A$6,'Lookup Reference'!$C$4:$C$6),INDEX('Lookup Reference'!$C$4:$C$6,MATCH(D32,'Lookup Reference'!$A$4:$A$6,0)))</f>
        <v>0.52</v>
      </c>
      <c r="I32" s="37" t="n">
        <f aca="false">G32*H32</f>
        <v>767472.5344</v>
      </c>
      <c r="J32" s="37" t="n">
        <f aca="false">G32-I32</f>
        <v>708436.1856</v>
      </c>
    </row>
    <row r="33" customFormat="false" ht="15" hidden="false" customHeight="true" outlineLevel="0" collapsed="false">
      <c r="A33" s="39" t="n">
        <v>45352</v>
      </c>
      <c r="B33" s="24" t="s">
        <v>74</v>
      </c>
      <c r="C33" s="24" t="s">
        <v>70</v>
      </c>
      <c r="D33" s="24" t="s">
        <v>45</v>
      </c>
      <c r="E33" s="40" t="n">
        <v>289</v>
      </c>
      <c r="F33" s="25" t="n">
        <v>2292.95</v>
      </c>
      <c r="G33" s="41" t="n">
        <f aca="false">E33*F33</f>
        <v>662662.55</v>
      </c>
      <c r="H33" s="42" t="n">
        <f aca="false">IFERROR(xlookup(D33,'Lookup Reference'!$A$4:$A$6,'Lookup Reference'!$C$4:$C$6),INDEX('Lookup Reference'!$C$4:$C$6,MATCH(D33,'Lookup Reference'!$A$4:$A$6,0)))</f>
        <v>0.38</v>
      </c>
      <c r="I33" s="41" t="n">
        <f aca="false">G33*H33</f>
        <v>251811.769</v>
      </c>
      <c r="J33" s="41" t="n">
        <f aca="false">G33-I33</f>
        <v>410850.781</v>
      </c>
    </row>
    <row r="34" customFormat="false" ht="15" hidden="false" customHeight="true" outlineLevel="0" collapsed="false">
      <c r="A34" s="35" t="n">
        <v>45352</v>
      </c>
      <c r="B34" s="8" t="s">
        <v>74</v>
      </c>
      <c r="C34" s="8" t="s">
        <v>71</v>
      </c>
      <c r="D34" s="8" t="s">
        <v>43</v>
      </c>
      <c r="E34" s="36" t="n">
        <v>525</v>
      </c>
      <c r="F34" s="21" t="n">
        <v>4095.99</v>
      </c>
      <c r="G34" s="37" t="n">
        <f aca="false">E34*F34</f>
        <v>2150394.75</v>
      </c>
      <c r="H34" s="38" t="n">
        <f aca="false">IFERROR(xlookup(D34,'Lookup Reference'!$A$4:$A$6,'Lookup Reference'!$C$4:$C$6),INDEX('Lookup Reference'!$C$4:$C$6,MATCH(D34,'Lookup Reference'!$A$4:$A$6,0)))</f>
        <v>0.46</v>
      </c>
      <c r="I34" s="37" t="n">
        <f aca="false">G34*H34</f>
        <v>989181.585</v>
      </c>
      <c r="J34" s="37" t="n">
        <f aca="false">G34-I34</f>
        <v>1161213.165</v>
      </c>
    </row>
    <row r="35" customFormat="false" ht="15" hidden="false" customHeight="true" outlineLevel="0" collapsed="false">
      <c r="A35" s="39" t="n">
        <v>45352</v>
      </c>
      <c r="B35" s="24" t="s">
        <v>74</v>
      </c>
      <c r="C35" s="24" t="s">
        <v>71</v>
      </c>
      <c r="D35" s="24" t="s">
        <v>44</v>
      </c>
      <c r="E35" s="40" t="n">
        <v>295</v>
      </c>
      <c r="F35" s="25" t="n">
        <v>6654.44</v>
      </c>
      <c r="G35" s="41" t="n">
        <f aca="false">E35*F35</f>
        <v>1963059.8</v>
      </c>
      <c r="H35" s="42" t="n">
        <f aca="false">IFERROR(xlookup(D35,'Lookup Reference'!$A$4:$A$6,'Lookup Reference'!$C$4:$C$6),INDEX('Lookup Reference'!$C$4:$C$6,MATCH(D35,'Lookup Reference'!$A$4:$A$6,0)))</f>
        <v>0.52</v>
      </c>
      <c r="I35" s="41" t="n">
        <f aca="false">G35*H35</f>
        <v>1020791.096</v>
      </c>
      <c r="J35" s="41" t="n">
        <f aca="false">G35-I35</f>
        <v>942268.704</v>
      </c>
    </row>
    <row r="36" customFormat="false" ht="15" hidden="false" customHeight="true" outlineLevel="0" collapsed="false">
      <c r="A36" s="35" t="n">
        <v>45352</v>
      </c>
      <c r="B36" s="8" t="s">
        <v>74</v>
      </c>
      <c r="C36" s="8" t="s">
        <v>71</v>
      </c>
      <c r="D36" s="8" t="s">
        <v>45</v>
      </c>
      <c r="E36" s="36" t="n">
        <v>412</v>
      </c>
      <c r="F36" s="21" t="n">
        <v>2365.53</v>
      </c>
      <c r="G36" s="37" t="n">
        <f aca="false">E36*F36</f>
        <v>974598.36</v>
      </c>
      <c r="H36" s="38" t="n">
        <f aca="false">IFERROR(xlookup(D36,'Lookup Reference'!$A$4:$A$6,'Lookup Reference'!$C$4:$C$6),INDEX('Lookup Reference'!$C$4:$C$6,MATCH(D36,'Lookup Reference'!$A$4:$A$6,0)))</f>
        <v>0.38</v>
      </c>
      <c r="I36" s="37" t="n">
        <f aca="false">G36*H36</f>
        <v>370347.3768</v>
      </c>
      <c r="J36" s="37" t="n">
        <f aca="false">G36-I36</f>
        <v>604250.9832</v>
      </c>
    </row>
    <row r="37" customFormat="false" ht="15" hidden="false" customHeight="true" outlineLevel="0" collapsed="false">
      <c r="A37" s="39" t="n">
        <v>45352</v>
      </c>
      <c r="B37" s="24" t="s">
        <v>74</v>
      </c>
      <c r="C37" s="24" t="s">
        <v>72</v>
      </c>
      <c r="D37" s="24" t="s">
        <v>43</v>
      </c>
      <c r="E37" s="40" t="n">
        <v>382</v>
      </c>
      <c r="F37" s="25" t="n">
        <v>3901.18</v>
      </c>
      <c r="G37" s="41" t="n">
        <f aca="false">E37*F37</f>
        <v>1490250.76</v>
      </c>
      <c r="H37" s="42" t="n">
        <f aca="false">IFERROR(xlookup(D37,'Lookup Reference'!$A$4:$A$6,'Lookup Reference'!$C$4:$C$6),INDEX('Lookup Reference'!$C$4:$C$6,MATCH(D37,'Lookup Reference'!$A$4:$A$6,0)))</f>
        <v>0.46</v>
      </c>
      <c r="I37" s="41" t="n">
        <f aca="false">G37*H37</f>
        <v>685515.3496</v>
      </c>
      <c r="J37" s="41" t="n">
        <f aca="false">G37-I37</f>
        <v>804735.4104</v>
      </c>
    </row>
    <row r="38" customFormat="false" ht="15" hidden="false" customHeight="true" outlineLevel="0" collapsed="false">
      <c r="A38" s="35" t="n">
        <v>45352</v>
      </c>
      <c r="B38" s="8" t="s">
        <v>74</v>
      </c>
      <c r="C38" s="8" t="s">
        <v>72</v>
      </c>
      <c r="D38" s="8" t="s">
        <v>44</v>
      </c>
      <c r="E38" s="36" t="n">
        <v>242</v>
      </c>
      <c r="F38" s="21" t="n">
        <v>6438.61</v>
      </c>
      <c r="G38" s="37" t="n">
        <f aca="false">E38*F38</f>
        <v>1558143.62</v>
      </c>
      <c r="H38" s="38" t="n">
        <f aca="false">IFERROR(xlookup(D38,'Lookup Reference'!$A$4:$A$6,'Lookup Reference'!$C$4:$C$6),INDEX('Lookup Reference'!$C$4:$C$6,MATCH(D38,'Lookup Reference'!$A$4:$A$6,0)))</f>
        <v>0.52</v>
      </c>
      <c r="I38" s="37" t="n">
        <f aca="false">G38*H38</f>
        <v>810234.6824</v>
      </c>
      <c r="J38" s="37" t="n">
        <f aca="false">G38-I38</f>
        <v>747908.9376</v>
      </c>
    </row>
    <row r="39" customFormat="false" ht="15" hidden="false" customHeight="true" outlineLevel="0" collapsed="false">
      <c r="A39" s="39" t="n">
        <v>45352</v>
      </c>
      <c r="B39" s="24" t="s">
        <v>74</v>
      </c>
      <c r="C39" s="24" t="s">
        <v>72</v>
      </c>
      <c r="D39" s="24" t="s">
        <v>45</v>
      </c>
      <c r="E39" s="40" t="n">
        <v>308</v>
      </c>
      <c r="F39" s="25" t="n">
        <v>2396.09</v>
      </c>
      <c r="G39" s="41" t="n">
        <f aca="false">E39*F39</f>
        <v>737995.72</v>
      </c>
      <c r="H39" s="42" t="n">
        <f aca="false">IFERROR(xlookup(D39,'Lookup Reference'!$A$4:$A$6,'Lookup Reference'!$C$4:$C$6),INDEX('Lookup Reference'!$C$4:$C$6,MATCH(D39,'Lookup Reference'!$A$4:$A$6,0)))</f>
        <v>0.38</v>
      </c>
      <c r="I39" s="41" t="n">
        <f aca="false">G39*H39</f>
        <v>280438.3736</v>
      </c>
      <c r="J39" s="41" t="n">
        <f aca="false">G39-I39</f>
        <v>457557.3464</v>
      </c>
    </row>
    <row r="40" customFormat="false" ht="15" hidden="false" customHeight="true" outlineLevel="0" collapsed="false">
      <c r="A40" s="35" t="n">
        <v>45383</v>
      </c>
      <c r="B40" s="8" t="s">
        <v>75</v>
      </c>
      <c r="C40" s="8" t="s">
        <v>69</v>
      </c>
      <c r="D40" s="8" t="s">
        <v>43</v>
      </c>
      <c r="E40" s="36" t="n">
        <v>513</v>
      </c>
      <c r="F40" s="21" t="n">
        <v>3991.9</v>
      </c>
      <c r="G40" s="37" t="n">
        <f aca="false">E40*F40</f>
        <v>2047844.7</v>
      </c>
      <c r="H40" s="38" t="n">
        <f aca="false">IFERROR(xlookup(D40,'Lookup Reference'!$A$4:$A$6,'Lookup Reference'!$C$4:$C$6),INDEX('Lookup Reference'!$C$4:$C$6,MATCH(D40,'Lookup Reference'!$A$4:$A$6,0)))</f>
        <v>0.46</v>
      </c>
      <c r="I40" s="37" t="n">
        <f aca="false">G40*H40</f>
        <v>942008.562</v>
      </c>
      <c r="J40" s="37" t="n">
        <f aca="false">G40-I40</f>
        <v>1105836.138</v>
      </c>
    </row>
    <row r="41" customFormat="false" ht="15" hidden="false" customHeight="true" outlineLevel="0" collapsed="false">
      <c r="A41" s="39" t="n">
        <v>45383</v>
      </c>
      <c r="B41" s="24" t="s">
        <v>75</v>
      </c>
      <c r="C41" s="24" t="s">
        <v>69</v>
      </c>
      <c r="D41" s="24" t="s">
        <v>44</v>
      </c>
      <c r="E41" s="40" t="n">
        <v>302</v>
      </c>
      <c r="F41" s="25" t="n">
        <v>6504.51</v>
      </c>
      <c r="G41" s="41" t="n">
        <f aca="false">E41*F41</f>
        <v>1964362.02</v>
      </c>
      <c r="H41" s="42" t="n">
        <f aca="false">IFERROR(xlookup(D41,'Lookup Reference'!$A$4:$A$6,'Lookup Reference'!$C$4:$C$6),INDEX('Lookup Reference'!$C$4:$C$6,MATCH(D41,'Lookup Reference'!$A$4:$A$6,0)))</f>
        <v>0.52</v>
      </c>
      <c r="I41" s="41" t="n">
        <f aca="false">G41*H41</f>
        <v>1021468.2504</v>
      </c>
      <c r="J41" s="41" t="n">
        <f aca="false">G41-I41</f>
        <v>942893.7696</v>
      </c>
    </row>
    <row r="42" customFormat="false" ht="15" hidden="false" customHeight="true" outlineLevel="0" collapsed="false">
      <c r="A42" s="35" t="n">
        <v>45383</v>
      </c>
      <c r="B42" s="8" t="s">
        <v>75</v>
      </c>
      <c r="C42" s="8" t="s">
        <v>69</v>
      </c>
      <c r="D42" s="8" t="s">
        <v>45</v>
      </c>
      <c r="E42" s="36" t="n">
        <v>418</v>
      </c>
      <c r="F42" s="21" t="n">
        <v>2307.28</v>
      </c>
      <c r="G42" s="37" t="n">
        <f aca="false">E42*F42</f>
        <v>964443.04</v>
      </c>
      <c r="H42" s="38" t="n">
        <f aca="false">IFERROR(xlookup(D42,'Lookup Reference'!$A$4:$A$6,'Lookup Reference'!$C$4:$C$6),INDEX('Lookup Reference'!$C$4:$C$6,MATCH(D42,'Lookup Reference'!$A$4:$A$6,0)))</f>
        <v>0.38</v>
      </c>
      <c r="I42" s="37" t="n">
        <f aca="false">G42*H42</f>
        <v>366488.3552</v>
      </c>
      <c r="J42" s="37" t="n">
        <f aca="false">G42-I42</f>
        <v>597954.6848</v>
      </c>
    </row>
    <row r="43" customFormat="false" ht="15" hidden="false" customHeight="true" outlineLevel="0" collapsed="false">
      <c r="A43" s="39" t="n">
        <v>45383</v>
      </c>
      <c r="B43" s="24" t="s">
        <v>75</v>
      </c>
      <c r="C43" s="24" t="s">
        <v>70</v>
      </c>
      <c r="D43" s="24" t="s">
        <v>43</v>
      </c>
      <c r="E43" s="40" t="n">
        <v>390</v>
      </c>
      <c r="F43" s="25" t="n">
        <v>3969.93</v>
      </c>
      <c r="G43" s="41" t="n">
        <f aca="false">E43*F43</f>
        <v>1548272.7</v>
      </c>
      <c r="H43" s="42" t="n">
        <f aca="false">IFERROR(xlookup(D43,'Lookup Reference'!$A$4:$A$6,'Lookup Reference'!$C$4:$C$6),INDEX('Lookup Reference'!$C$4:$C$6,MATCH(D43,'Lookup Reference'!$A$4:$A$6,0)))</f>
        <v>0.46</v>
      </c>
      <c r="I43" s="41" t="n">
        <f aca="false">G43*H43</f>
        <v>712205.442</v>
      </c>
      <c r="J43" s="41" t="n">
        <f aca="false">G43-I43</f>
        <v>836067.258</v>
      </c>
    </row>
    <row r="44" customFormat="false" ht="15" hidden="false" customHeight="true" outlineLevel="0" collapsed="false">
      <c r="A44" s="35" t="n">
        <v>45383</v>
      </c>
      <c r="B44" s="8" t="s">
        <v>75</v>
      </c>
      <c r="C44" s="8" t="s">
        <v>70</v>
      </c>
      <c r="D44" s="8" t="s">
        <v>44</v>
      </c>
      <c r="E44" s="36" t="n">
        <v>260</v>
      </c>
      <c r="F44" s="21" t="n">
        <v>6435.74</v>
      </c>
      <c r="G44" s="37" t="n">
        <f aca="false">E44*F44</f>
        <v>1673292.4</v>
      </c>
      <c r="H44" s="38" t="n">
        <f aca="false">IFERROR(xlookup(D44,'Lookup Reference'!$A$4:$A$6,'Lookup Reference'!$C$4:$C$6),INDEX('Lookup Reference'!$C$4:$C$6,MATCH(D44,'Lookup Reference'!$A$4:$A$6,0)))</f>
        <v>0.52</v>
      </c>
      <c r="I44" s="37" t="n">
        <f aca="false">G44*H44</f>
        <v>870112.048</v>
      </c>
      <c r="J44" s="37" t="n">
        <f aca="false">G44-I44</f>
        <v>803180.352</v>
      </c>
    </row>
    <row r="45" customFormat="false" ht="15" hidden="false" customHeight="true" outlineLevel="0" collapsed="false">
      <c r="A45" s="39" t="n">
        <v>45383</v>
      </c>
      <c r="B45" s="24" t="s">
        <v>75</v>
      </c>
      <c r="C45" s="24" t="s">
        <v>70</v>
      </c>
      <c r="D45" s="24" t="s">
        <v>45</v>
      </c>
      <c r="E45" s="40" t="n">
        <v>342</v>
      </c>
      <c r="F45" s="25" t="n">
        <v>2387.5</v>
      </c>
      <c r="G45" s="41" t="n">
        <f aca="false">E45*F45</f>
        <v>816525</v>
      </c>
      <c r="H45" s="42" t="n">
        <f aca="false">IFERROR(xlookup(D45,'Lookup Reference'!$A$4:$A$6,'Lookup Reference'!$C$4:$C$6),INDEX('Lookup Reference'!$C$4:$C$6,MATCH(D45,'Lookup Reference'!$A$4:$A$6,0)))</f>
        <v>0.38</v>
      </c>
      <c r="I45" s="41" t="n">
        <f aca="false">G45*H45</f>
        <v>310279.5</v>
      </c>
      <c r="J45" s="41" t="n">
        <f aca="false">G45-I45</f>
        <v>506245.5</v>
      </c>
    </row>
    <row r="46" customFormat="false" ht="15" hidden="false" customHeight="true" outlineLevel="0" collapsed="false">
      <c r="A46" s="35" t="n">
        <v>45383</v>
      </c>
      <c r="B46" s="8" t="s">
        <v>75</v>
      </c>
      <c r="C46" s="8" t="s">
        <v>71</v>
      </c>
      <c r="D46" s="8" t="s">
        <v>43</v>
      </c>
      <c r="E46" s="36" t="n">
        <v>489</v>
      </c>
      <c r="F46" s="21" t="n">
        <v>3961.34</v>
      </c>
      <c r="G46" s="37" t="n">
        <f aca="false">E46*F46</f>
        <v>1937095.26</v>
      </c>
      <c r="H46" s="38" t="n">
        <f aca="false">IFERROR(xlookup(D46,'Lookup Reference'!$A$4:$A$6,'Lookup Reference'!$C$4:$C$6),INDEX('Lookup Reference'!$C$4:$C$6,MATCH(D46,'Lookup Reference'!$A$4:$A$6,0)))</f>
        <v>0.46</v>
      </c>
      <c r="I46" s="37" t="n">
        <f aca="false">G46*H46</f>
        <v>891063.8196</v>
      </c>
      <c r="J46" s="37" t="n">
        <f aca="false">G46-I46</f>
        <v>1046031.4404</v>
      </c>
    </row>
    <row r="47" customFormat="false" ht="15" hidden="false" customHeight="true" outlineLevel="0" collapsed="false">
      <c r="A47" s="39" t="n">
        <v>45383</v>
      </c>
      <c r="B47" s="24" t="s">
        <v>75</v>
      </c>
      <c r="C47" s="24" t="s">
        <v>71</v>
      </c>
      <c r="D47" s="24" t="s">
        <v>44</v>
      </c>
      <c r="E47" s="40" t="n">
        <v>347</v>
      </c>
      <c r="F47" s="25" t="n">
        <v>6563.72</v>
      </c>
      <c r="G47" s="41" t="n">
        <f aca="false">E47*F47</f>
        <v>2277610.84</v>
      </c>
      <c r="H47" s="42" t="n">
        <f aca="false">IFERROR(xlookup(D47,'Lookup Reference'!$A$4:$A$6,'Lookup Reference'!$C$4:$C$6),INDEX('Lookup Reference'!$C$4:$C$6,MATCH(D47,'Lookup Reference'!$A$4:$A$6,0)))</f>
        <v>0.52</v>
      </c>
      <c r="I47" s="41" t="n">
        <f aca="false">G47*H47</f>
        <v>1184357.6368</v>
      </c>
      <c r="J47" s="41" t="n">
        <f aca="false">G47-I47</f>
        <v>1093253.2032</v>
      </c>
    </row>
    <row r="48" customFormat="false" ht="15" hidden="false" customHeight="true" outlineLevel="0" collapsed="false">
      <c r="A48" s="35" t="n">
        <v>45383</v>
      </c>
      <c r="B48" s="8" t="s">
        <v>75</v>
      </c>
      <c r="C48" s="8" t="s">
        <v>71</v>
      </c>
      <c r="D48" s="8" t="s">
        <v>45</v>
      </c>
      <c r="E48" s="36" t="n">
        <v>365</v>
      </c>
      <c r="F48" s="21" t="n">
        <v>2231.84</v>
      </c>
      <c r="G48" s="37" t="n">
        <f aca="false">E48*F48</f>
        <v>814621.6</v>
      </c>
      <c r="H48" s="38" t="n">
        <f aca="false">IFERROR(xlookup(D48,'Lookup Reference'!$A$4:$A$6,'Lookup Reference'!$C$4:$C$6),INDEX('Lookup Reference'!$C$4:$C$6,MATCH(D48,'Lookup Reference'!$A$4:$A$6,0)))</f>
        <v>0.38</v>
      </c>
      <c r="I48" s="37" t="n">
        <f aca="false">G48*H48</f>
        <v>309556.208</v>
      </c>
      <c r="J48" s="37" t="n">
        <f aca="false">G48-I48</f>
        <v>505065.392</v>
      </c>
    </row>
    <row r="49" customFormat="false" ht="15" hidden="false" customHeight="true" outlineLevel="0" collapsed="false">
      <c r="A49" s="39" t="n">
        <v>45383</v>
      </c>
      <c r="B49" s="24" t="s">
        <v>75</v>
      </c>
      <c r="C49" s="24" t="s">
        <v>72</v>
      </c>
      <c r="D49" s="24" t="s">
        <v>43</v>
      </c>
      <c r="E49" s="40" t="n">
        <v>395</v>
      </c>
      <c r="F49" s="25" t="n">
        <v>4092.18</v>
      </c>
      <c r="G49" s="41" t="n">
        <f aca="false">E49*F49</f>
        <v>1616411.1</v>
      </c>
      <c r="H49" s="42" t="n">
        <f aca="false">IFERROR(xlookup(D49,'Lookup Reference'!$A$4:$A$6,'Lookup Reference'!$C$4:$C$6),INDEX('Lookup Reference'!$C$4:$C$6,MATCH(D49,'Lookup Reference'!$A$4:$A$6,0)))</f>
        <v>0.46</v>
      </c>
      <c r="I49" s="41" t="n">
        <f aca="false">G49*H49</f>
        <v>743549.106</v>
      </c>
      <c r="J49" s="41" t="n">
        <f aca="false">G49-I49</f>
        <v>872861.994</v>
      </c>
    </row>
    <row r="50" customFormat="false" ht="15" hidden="false" customHeight="true" outlineLevel="0" collapsed="false">
      <c r="A50" s="35" t="n">
        <v>45383</v>
      </c>
      <c r="B50" s="8" t="s">
        <v>75</v>
      </c>
      <c r="C50" s="8" t="s">
        <v>72</v>
      </c>
      <c r="D50" s="8" t="s">
        <v>44</v>
      </c>
      <c r="E50" s="36" t="n">
        <v>288</v>
      </c>
      <c r="F50" s="21" t="n">
        <v>6518.83</v>
      </c>
      <c r="G50" s="37" t="n">
        <f aca="false">E50*F50</f>
        <v>1877423.04</v>
      </c>
      <c r="H50" s="38" t="n">
        <f aca="false">IFERROR(xlookup(D50,'Lookup Reference'!$A$4:$A$6,'Lookup Reference'!$C$4:$C$6),INDEX('Lookup Reference'!$C$4:$C$6,MATCH(D50,'Lookup Reference'!$A$4:$A$6,0)))</f>
        <v>0.52</v>
      </c>
      <c r="I50" s="37" t="n">
        <f aca="false">G50*H50</f>
        <v>976259.9808</v>
      </c>
      <c r="J50" s="37" t="n">
        <f aca="false">G50-I50</f>
        <v>901163.0592</v>
      </c>
    </row>
    <row r="51" customFormat="false" ht="15" hidden="false" customHeight="true" outlineLevel="0" collapsed="false">
      <c r="A51" s="39" t="n">
        <v>45383</v>
      </c>
      <c r="B51" s="24" t="s">
        <v>75</v>
      </c>
      <c r="C51" s="24" t="s">
        <v>72</v>
      </c>
      <c r="D51" s="24" t="s">
        <v>45</v>
      </c>
      <c r="E51" s="40" t="n">
        <v>315</v>
      </c>
      <c r="F51" s="25" t="n">
        <v>2292.95</v>
      </c>
      <c r="G51" s="41" t="n">
        <f aca="false">E51*F51</f>
        <v>722279.25</v>
      </c>
      <c r="H51" s="42" t="n">
        <f aca="false">IFERROR(xlookup(D51,'Lookup Reference'!$A$4:$A$6,'Lookup Reference'!$C$4:$C$6),INDEX('Lookup Reference'!$C$4:$C$6,MATCH(D51,'Lookup Reference'!$A$4:$A$6,0)))</f>
        <v>0.38</v>
      </c>
      <c r="I51" s="41" t="n">
        <f aca="false">G51*H51</f>
        <v>274466.115</v>
      </c>
      <c r="J51" s="41" t="n">
        <f aca="false">G51-I51</f>
        <v>447813.135</v>
      </c>
    </row>
    <row r="52" customFormat="false" ht="15" hidden="false" customHeight="true" outlineLevel="0" collapsed="false">
      <c r="A52" s="35" t="n">
        <v>45413</v>
      </c>
      <c r="B52" s="8" t="s">
        <v>76</v>
      </c>
      <c r="C52" s="8" t="s">
        <v>69</v>
      </c>
      <c r="D52" s="8" t="s">
        <v>43</v>
      </c>
      <c r="E52" s="36" t="n">
        <v>559</v>
      </c>
      <c r="F52" s="21" t="n">
        <v>4060.66</v>
      </c>
      <c r="G52" s="37" t="n">
        <f aca="false">E52*F52</f>
        <v>2269908.94</v>
      </c>
      <c r="H52" s="38" t="n">
        <f aca="false">IFERROR(xlookup(D52,'Lookup Reference'!$A$4:$A$6,'Lookup Reference'!$C$4:$C$6),INDEX('Lookup Reference'!$C$4:$C$6,MATCH(D52,'Lookup Reference'!$A$4:$A$6,0)))</f>
        <v>0.46</v>
      </c>
      <c r="I52" s="37" t="n">
        <f aca="false">G52*H52</f>
        <v>1044158.1124</v>
      </c>
      <c r="J52" s="37" t="n">
        <f aca="false">G52-I52</f>
        <v>1225750.8276</v>
      </c>
    </row>
    <row r="53" customFormat="false" ht="15" hidden="false" customHeight="true" outlineLevel="0" collapsed="false">
      <c r="A53" s="39" t="n">
        <v>45413</v>
      </c>
      <c r="B53" s="24" t="s">
        <v>76</v>
      </c>
      <c r="C53" s="24" t="s">
        <v>69</v>
      </c>
      <c r="D53" s="24" t="s">
        <v>44</v>
      </c>
      <c r="E53" s="40" t="n">
        <v>344</v>
      </c>
      <c r="F53" s="25" t="n">
        <v>6746.12</v>
      </c>
      <c r="G53" s="41" t="n">
        <f aca="false">E53*F53</f>
        <v>2320665.28</v>
      </c>
      <c r="H53" s="42" t="n">
        <f aca="false">IFERROR(xlookup(D53,'Lookup Reference'!$A$4:$A$6,'Lookup Reference'!$C$4:$C$6),INDEX('Lookup Reference'!$C$4:$C$6,MATCH(D53,'Lookup Reference'!$A$4:$A$6,0)))</f>
        <v>0.52</v>
      </c>
      <c r="I53" s="41" t="n">
        <f aca="false">G53*H53</f>
        <v>1206745.9456</v>
      </c>
      <c r="J53" s="41" t="n">
        <f aca="false">G53-I53</f>
        <v>1113919.3344</v>
      </c>
    </row>
    <row r="54" customFormat="false" ht="15" hidden="false" customHeight="true" outlineLevel="0" collapsed="false">
      <c r="A54" s="35" t="n">
        <v>45413</v>
      </c>
      <c r="B54" s="8" t="s">
        <v>76</v>
      </c>
      <c r="C54" s="8" t="s">
        <v>69</v>
      </c>
      <c r="D54" s="8" t="s">
        <v>45</v>
      </c>
      <c r="E54" s="36" t="n">
        <v>357</v>
      </c>
      <c r="F54" s="21" t="n">
        <v>2355.03</v>
      </c>
      <c r="G54" s="37" t="n">
        <f aca="false">E54*F54</f>
        <v>840745.71</v>
      </c>
      <c r="H54" s="38" t="n">
        <f aca="false">IFERROR(xlookup(D54,'Lookup Reference'!$A$4:$A$6,'Lookup Reference'!$C$4:$C$6),INDEX('Lookup Reference'!$C$4:$C$6,MATCH(D54,'Lookup Reference'!$A$4:$A$6,0)))</f>
        <v>0.38</v>
      </c>
      <c r="I54" s="37" t="n">
        <f aca="false">G54*H54</f>
        <v>319483.3698</v>
      </c>
      <c r="J54" s="37" t="n">
        <f aca="false">G54-I54</f>
        <v>521262.3402</v>
      </c>
    </row>
    <row r="55" customFormat="false" ht="15" hidden="false" customHeight="true" outlineLevel="0" collapsed="false">
      <c r="A55" s="39" t="n">
        <v>45413</v>
      </c>
      <c r="B55" s="24" t="s">
        <v>76</v>
      </c>
      <c r="C55" s="24" t="s">
        <v>70</v>
      </c>
      <c r="D55" s="24" t="s">
        <v>43</v>
      </c>
      <c r="E55" s="40" t="n">
        <v>459</v>
      </c>
      <c r="F55" s="25" t="n">
        <v>4062.57</v>
      </c>
      <c r="G55" s="41" t="n">
        <f aca="false">E55*F55</f>
        <v>1864719.63</v>
      </c>
      <c r="H55" s="42" t="n">
        <f aca="false">IFERROR(xlookup(D55,'Lookup Reference'!$A$4:$A$6,'Lookup Reference'!$C$4:$C$6),INDEX('Lookup Reference'!$C$4:$C$6,MATCH(D55,'Lookup Reference'!$A$4:$A$6,0)))</f>
        <v>0.46</v>
      </c>
      <c r="I55" s="41" t="n">
        <f aca="false">G55*H55</f>
        <v>857771.0298</v>
      </c>
      <c r="J55" s="41" t="n">
        <f aca="false">G55-I55</f>
        <v>1006948.6002</v>
      </c>
    </row>
    <row r="56" customFormat="false" ht="15" hidden="false" customHeight="true" outlineLevel="0" collapsed="false">
      <c r="A56" s="35" t="n">
        <v>45413</v>
      </c>
      <c r="B56" s="8" t="s">
        <v>76</v>
      </c>
      <c r="C56" s="8" t="s">
        <v>70</v>
      </c>
      <c r="D56" s="8" t="s">
        <v>44</v>
      </c>
      <c r="E56" s="36" t="n">
        <v>257</v>
      </c>
      <c r="F56" s="21" t="n">
        <v>6632.48</v>
      </c>
      <c r="G56" s="37" t="n">
        <f aca="false">E56*F56</f>
        <v>1704547.36</v>
      </c>
      <c r="H56" s="38" t="n">
        <f aca="false">IFERROR(xlookup(D56,'Lookup Reference'!$A$4:$A$6,'Lookup Reference'!$C$4:$C$6),INDEX('Lookup Reference'!$C$4:$C$6,MATCH(D56,'Lookup Reference'!$A$4:$A$6,0)))</f>
        <v>0.52</v>
      </c>
      <c r="I56" s="37" t="n">
        <f aca="false">G56*H56</f>
        <v>886364.6272</v>
      </c>
      <c r="J56" s="37" t="n">
        <f aca="false">G56-I56</f>
        <v>818182.7328</v>
      </c>
    </row>
    <row r="57" customFormat="false" ht="15" hidden="false" customHeight="true" outlineLevel="0" collapsed="false">
      <c r="A57" s="39" t="n">
        <v>45413</v>
      </c>
      <c r="B57" s="24" t="s">
        <v>76</v>
      </c>
      <c r="C57" s="24" t="s">
        <v>70</v>
      </c>
      <c r="D57" s="24" t="s">
        <v>45</v>
      </c>
      <c r="E57" s="40" t="n">
        <v>323</v>
      </c>
      <c r="F57" s="25" t="n">
        <v>2302.51</v>
      </c>
      <c r="G57" s="41" t="n">
        <f aca="false">E57*F57</f>
        <v>743710.73</v>
      </c>
      <c r="H57" s="42" t="n">
        <f aca="false">IFERROR(xlookup(D57,'Lookup Reference'!$A$4:$A$6,'Lookup Reference'!$C$4:$C$6),INDEX('Lookup Reference'!$C$4:$C$6,MATCH(D57,'Lookup Reference'!$A$4:$A$6,0)))</f>
        <v>0.38</v>
      </c>
      <c r="I57" s="41" t="n">
        <f aca="false">G57*H57</f>
        <v>282610.0774</v>
      </c>
      <c r="J57" s="41" t="n">
        <f aca="false">G57-I57</f>
        <v>461100.6526</v>
      </c>
    </row>
    <row r="58" customFormat="false" ht="15" hidden="false" customHeight="true" outlineLevel="0" collapsed="false">
      <c r="A58" s="35" t="n">
        <v>45413</v>
      </c>
      <c r="B58" s="8" t="s">
        <v>76</v>
      </c>
      <c r="C58" s="8" t="s">
        <v>71</v>
      </c>
      <c r="D58" s="8" t="s">
        <v>43</v>
      </c>
      <c r="E58" s="36" t="n">
        <v>526</v>
      </c>
      <c r="F58" s="21" t="n">
        <v>4196.27</v>
      </c>
      <c r="G58" s="37" t="n">
        <f aca="false">E58*F58</f>
        <v>2207238.02</v>
      </c>
      <c r="H58" s="38" t="n">
        <f aca="false">IFERROR(xlookup(D58,'Lookup Reference'!$A$4:$A$6,'Lookup Reference'!$C$4:$C$6),INDEX('Lookup Reference'!$C$4:$C$6,MATCH(D58,'Lookup Reference'!$A$4:$A$6,0)))</f>
        <v>0.46</v>
      </c>
      <c r="I58" s="37" t="n">
        <f aca="false">G58*H58</f>
        <v>1015329.4892</v>
      </c>
      <c r="J58" s="37" t="n">
        <f aca="false">G58-I58</f>
        <v>1191908.5308</v>
      </c>
    </row>
    <row r="59" customFormat="false" ht="15" hidden="false" customHeight="true" outlineLevel="0" collapsed="false">
      <c r="A59" s="39" t="n">
        <v>45413</v>
      </c>
      <c r="B59" s="24" t="s">
        <v>76</v>
      </c>
      <c r="C59" s="24" t="s">
        <v>71</v>
      </c>
      <c r="D59" s="24" t="s">
        <v>44</v>
      </c>
      <c r="E59" s="40" t="n">
        <v>359</v>
      </c>
      <c r="F59" s="25" t="n">
        <v>6435.74</v>
      </c>
      <c r="G59" s="41" t="n">
        <f aca="false">E59*F59</f>
        <v>2310430.66</v>
      </c>
      <c r="H59" s="42" t="n">
        <f aca="false">IFERROR(xlookup(D59,'Lookup Reference'!$A$4:$A$6,'Lookup Reference'!$C$4:$C$6),INDEX('Lookup Reference'!$C$4:$C$6,MATCH(D59,'Lookup Reference'!$A$4:$A$6,0)))</f>
        <v>0.52</v>
      </c>
      <c r="I59" s="41" t="n">
        <f aca="false">G59*H59</f>
        <v>1201423.9432</v>
      </c>
      <c r="J59" s="41" t="n">
        <f aca="false">G59-I59</f>
        <v>1109006.7168</v>
      </c>
    </row>
    <row r="60" customFormat="false" ht="15" hidden="false" customHeight="true" outlineLevel="0" collapsed="false">
      <c r="A60" s="35" t="n">
        <v>45413</v>
      </c>
      <c r="B60" s="8" t="s">
        <v>76</v>
      </c>
      <c r="C60" s="8" t="s">
        <v>71</v>
      </c>
      <c r="D60" s="8" t="s">
        <v>45</v>
      </c>
      <c r="E60" s="36" t="n">
        <v>431</v>
      </c>
      <c r="F60" s="21" t="n">
        <v>2255.71</v>
      </c>
      <c r="G60" s="37" t="n">
        <f aca="false">E60*F60</f>
        <v>972211.01</v>
      </c>
      <c r="H60" s="38" t="n">
        <f aca="false">IFERROR(xlookup(D60,'Lookup Reference'!$A$4:$A$6,'Lookup Reference'!$C$4:$C$6),INDEX('Lookup Reference'!$C$4:$C$6,MATCH(D60,'Lookup Reference'!$A$4:$A$6,0)))</f>
        <v>0.38</v>
      </c>
      <c r="I60" s="37" t="n">
        <f aca="false">G60*H60</f>
        <v>369440.1838</v>
      </c>
      <c r="J60" s="37" t="n">
        <f aca="false">G60-I60</f>
        <v>602770.8262</v>
      </c>
    </row>
    <row r="61" customFormat="false" ht="15" hidden="false" customHeight="true" outlineLevel="0" collapsed="false">
      <c r="A61" s="39" t="n">
        <v>45413</v>
      </c>
      <c r="B61" s="24" t="s">
        <v>76</v>
      </c>
      <c r="C61" s="24" t="s">
        <v>72</v>
      </c>
      <c r="D61" s="24" t="s">
        <v>43</v>
      </c>
      <c r="E61" s="40" t="n">
        <v>508</v>
      </c>
      <c r="F61" s="25" t="n">
        <v>4169.53</v>
      </c>
      <c r="G61" s="41" t="n">
        <f aca="false">E61*F61</f>
        <v>2118121.24</v>
      </c>
      <c r="H61" s="42" t="n">
        <f aca="false">IFERROR(xlookup(D61,'Lookup Reference'!$A$4:$A$6,'Lookup Reference'!$C$4:$C$6),INDEX('Lookup Reference'!$C$4:$C$6,MATCH(D61,'Lookup Reference'!$A$4:$A$6,0)))</f>
        <v>0.46</v>
      </c>
      <c r="I61" s="41" t="n">
        <f aca="false">G61*H61</f>
        <v>974335.7704</v>
      </c>
      <c r="J61" s="41" t="n">
        <f aca="false">G61-I61</f>
        <v>1143785.4696</v>
      </c>
    </row>
    <row r="62" customFormat="false" ht="15" hidden="false" customHeight="true" outlineLevel="0" collapsed="false">
      <c r="A62" s="35" t="n">
        <v>45413</v>
      </c>
      <c r="B62" s="8" t="s">
        <v>76</v>
      </c>
      <c r="C62" s="8" t="s">
        <v>72</v>
      </c>
      <c r="D62" s="8" t="s">
        <v>44</v>
      </c>
      <c r="E62" s="36" t="n">
        <v>272</v>
      </c>
      <c r="F62" s="21" t="n">
        <v>6631.52</v>
      </c>
      <c r="G62" s="37" t="n">
        <f aca="false">E62*F62</f>
        <v>1803773.44</v>
      </c>
      <c r="H62" s="38" t="n">
        <f aca="false">IFERROR(xlookup(D62,'Lookup Reference'!$A$4:$A$6,'Lookup Reference'!$C$4:$C$6),INDEX('Lookup Reference'!$C$4:$C$6,MATCH(D62,'Lookup Reference'!$A$4:$A$6,0)))</f>
        <v>0.52</v>
      </c>
      <c r="I62" s="37" t="n">
        <f aca="false">G62*H62</f>
        <v>937962.1888</v>
      </c>
      <c r="J62" s="37" t="n">
        <f aca="false">G62-I62</f>
        <v>865811.2512</v>
      </c>
    </row>
    <row r="63" customFormat="false" ht="15" hidden="false" customHeight="true" outlineLevel="0" collapsed="false">
      <c r="A63" s="39" t="n">
        <v>45413</v>
      </c>
      <c r="B63" s="24" t="s">
        <v>76</v>
      </c>
      <c r="C63" s="24" t="s">
        <v>72</v>
      </c>
      <c r="D63" s="24" t="s">
        <v>45</v>
      </c>
      <c r="E63" s="40" t="n">
        <v>384</v>
      </c>
      <c r="F63" s="25" t="n">
        <v>2250.93</v>
      </c>
      <c r="G63" s="41" t="n">
        <f aca="false">E63*F63</f>
        <v>864357.12</v>
      </c>
      <c r="H63" s="42" t="n">
        <f aca="false">IFERROR(xlookup(D63,'Lookup Reference'!$A$4:$A$6,'Lookup Reference'!$C$4:$C$6),INDEX('Lookup Reference'!$C$4:$C$6,MATCH(D63,'Lookup Reference'!$A$4:$A$6,0)))</f>
        <v>0.38</v>
      </c>
      <c r="I63" s="41" t="n">
        <f aca="false">G63*H63</f>
        <v>328455.7056</v>
      </c>
      <c r="J63" s="41" t="n">
        <f aca="false">G63-I63</f>
        <v>535901.4144</v>
      </c>
    </row>
    <row r="64" customFormat="false" ht="15" hidden="false" customHeight="true" outlineLevel="0" collapsed="false">
      <c r="A64" s="35" t="n">
        <v>45444</v>
      </c>
      <c r="B64" s="8" t="s">
        <v>77</v>
      </c>
      <c r="C64" s="8" t="s">
        <v>69</v>
      </c>
      <c r="D64" s="8" t="s">
        <v>43</v>
      </c>
      <c r="E64" s="36" t="n">
        <v>563</v>
      </c>
      <c r="F64" s="21" t="n">
        <v>4063.52</v>
      </c>
      <c r="G64" s="37" t="n">
        <f aca="false">E64*F64</f>
        <v>2287761.76</v>
      </c>
      <c r="H64" s="38" t="n">
        <f aca="false">IFERROR(xlookup(D64,'Lookup Reference'!$A$4:$A$6,'Lookup Reference'!$C$4:$C$6),INDEX('Lookup Reference'!$C$4:$C$6,MATCH(D64,'Lookup Reference'!$A$4:$A$6,0)))</f>
        <v>0.46</v>
      </c>
      <c r="I64" s="37" t="n">
        <f aca="false">G64*H64</f>
        <v>1052370.4096</v>
      </c>
      <c r="J64" s="37" t="n">
        <f aca="false">G64-I64</f>
        <v>1235391.3504</v>
      </c>
    </row>
    <row r="65" customFormat="false" ht="15" hidden="false" customHeight="true" outlineLevel="0" collapsed="false">
      <c r="A65" s="39" t="n">
        <v>45444</v>
      </c>
      <c r="B65" s="24" t="s">
        <v>77</v>
      </c>
      <c r="C65" s="24" t="s">
        <v>69</v>
      </c>
      <c r="D65" s="24" t="s">
        <v>44</v>
      </c>
      <c r="E65" s="40" t="n">
        <v>350</v>
      </c>
      <c r="F65" s="25" t="n">
        <v>6575.17</v>
      </c>
      <c r="G65" s="41" t="n">
        <f aca="false">E65*F65</f>
        <v>2301309.5</v>
      </c>
      <c r="H65" s="42" t="n">
        <f aca="false">IFERROR(xlookup(D65,'Lookup Reference'!$A$4:$A$6,'Lookup Reference'!$C$4:$C$6),INDEX('Lookup Reference'!$C$4:$C$6,MATCH(D65,'Lookup Reference'!$A$4:$A$6,0)))</f>
        <v>0.52</v>
      </c>
      <c r="I65" s="41" t="n">
        <f aca="false">G65*H65</f>
        <v>1196680.94</v>
      </c>
      <c r="J65" s="41" t="n">
        <f aca="false">G65-I65</f>
        <v>1104628.56</v>
      </c>
    </row>
    <row r="66" customFormat="false" ht="15" hidden="false" customHeight="true" outlineLevel="0" collapsed="false">
      <c r="A66" s="35" t="n">
        <v>45444</v>
      </c>
      <c r="B66" s="8" t="s">
        <v>77</v>
      </c>
      <c r="C66" s="8" t="s">
        <v>69</v>
      </c>
      <c r="D66" s="8" t="s">
        <v>45</v>
      </c>
      <c r="E66" s="36" t="n">
        <v>377</v>
      </c>
      <c r="F66" s="21" t="n">
        <v>2282.45</v>
      </c>
      <c r="G66" s="37" t="n">
        <f aca="false">E66*F66</f>
        <v>860483.65</v>
      </c>
      <c r="H66" s="38" t="n">
        <f aca="false">IFERROR(xlookup(D66,'Lookup Reference'!$A$4:$A$6,'Lookup Reference'!$C$4:$C$6),INDEX('Lookup Reference'!$C$4:$C$6,MATCH(D66,'Lookup Reference'!$A$4:$A$6,0)))</f>
        <v>0.38</v>
      </c>
      <c r="I66" s="37" t="n">
        <f aca="false">G66*H66</f>
        <v>326983.787</v>
      </c>
      <c r="J66" s="37" t="n">
        <f aca="false">G66-I66</f>
        <v>533499.863</v>
      </c>
    </row>
    <row r="67" customFormat="false" ht="15" hidden="false" customHeight="true" outlineLevel="0" collapsed="false">
      <c r="A67" s="39" t="n">
        <v>45444</v>
      </c>
      <c r="B67" s="24" t="s">
        <v>77</v>
      </c>
      <c r="C67" s="24" t="s">
        <v>70</v>
      </c>
      <c r="D67" s="24" t="s">
        <v>43</v>
      </c>
      <c r="E67" s="40" t="n">
        <v>412</v>
      </c>
      <c r="F67" s="25" t="n">
        <v>4188.63</v>
      </c>
      <c r="G67" s="41" t="n">
        <f aca="false">E67*F67</f>
        <v>1725715.56</v>
      </c>
      <c r="H67" s="42" t="n">
        <f aca="false">IFERROR(xlookup(D67,'Lookup Reference'!$A$4:$A$6,'Lookup Reference'!$C$4:$C$6),INDEX('Lookup Reference'!$C$4:$C$6,MATCH(D67,'Lookup Reference'!$A$4:$A$6,0)))</f>
        <v>0.46</v>
      </c>
      <c r="I67" s="41" t="n">
        <f aca="false">G67*H67</f>
        <v>793829.1576</v>
      </c>
      <c r="J67" s="41" t="n">
        <f aca="false">G67-I67</f>
        <v>931886.4024</v>
      </c>
    </row>
    <row r="68" customFormat="false" ht="15" hidden="false" customHeight="true" outlineLevel="0" collapsed="false">
      <c r="A68" s="35" t="n">
        <v>45444</v>
      </c>
      <c r="B68" s="8" t="s">
        <v>77</v>
      </c>
      <c r="C68" s="8" t="s">
        <v>70</v>
      </c>
      <c r="D68" s="8" t="s">
        <v>44</v>
      </c>
      <c r="E68" s="36" t="n">
        <v>315</v>
      </c>
      <c r="F68" s="21" t="n">
        <v>6730.84</v>
      </c>
      <c r="G68" s="37" t="n">
        <f aca="false">E68*F68</f>
        <v>2120214.6</v>
      </c>
      <c r="H68" s="38" t="n">
        <f aca="false">IFERROR(xlookup(D68,'Lookup Reference'!$A$4:$A$6,'Lookup Reference'!$C$4:$C$6),INDEX('Lookup Reference'!$C$4:$C$6,MATCH(D68,'Lookup Reference'!$A$4:$A$6,0)))</f>
        <v>0.52</v>
      </c>
      <c r="I68" s="37" t="n">
        <f aca="false">G68*H68</f>
        <v>1102511.592</v>
      </c>
      <c r="J68" s="37" t="n">
        <f aca="false">G68-I68</f>
        <v>1017703.008</v>
      </c>
    </row>
    <row r="69" customFormat="false" ht="15" hidden="false" customHeight="true" outlineLevel="0" collapsed="false">
      <c r="A69" s="39" t="n">
        <v>45444</v>
      </c>
      <c r="B69" s="24" t="s">
        <v>77</v>
      </c>
      <c r="C69" s="24" t="s">
        <v>70</v>
      </c>
      <c r="D69" s="24" t="s">
        <v>45</v>
      </c>
      <c r="E69" s="40" t="n">
        <v>360</v>
      </c>
      <c r="F69" s="25" t="n">
        <v>2233.74</v>
      </c>
      <c r="G69" s="41" t="n">
        <f aca="false">E69*F69</f>
        <v>804146.4</v>
      </c>
      <c r="H69" s="42" t="n">
        <f aca="false">IFERROR(xlookup(D69,'Lookup Reference'!$A$4:$A$6,'Lookup Reference'!$C$4:$C$6),INDEX('Lookup Reference'!$C$4:$C$6,MATCH(D69,'Lookup Reference'!$A$4:$A$6,0)))</f>
        <v>0.38</v>
      </c>
      <c r="I69" s="41" t="n">
        <f aca="false">G69*H69</f>
        <v>305575.632</v>
      </c>
      <c r="J69" s="41" t="n">
        <f aca="false">G69-I69</f>
        <v>498570.768</v>
      </c>
    </row>
    <row r="70" customFormat="false" ht="15" hidden="false" customHeight="true" outlineLevel="0" collapsed="false">
      <c r="A70" s="35" t="n">
        <v>45444</v>
      </c>
      <c r="B70" s="8" t="s">
        <v>77</v>
      </c>
      <c r="C70" s="8" t="s">
        <v>71</v>
      </c>
      <c r="D70" s="8" t="s">
        <v>43</v>
      </c>
      <c r="E70" s="36" t="n">
        <v>615</v>
      </c>
      <c r="F70" s="21" t="n">
        <v>4194.36</v>
      </c>
      <c r="G70" s="37" t="n">
        <f aca="false">E70*F70</f>
        <v>2579531.4</v>
      </c>
      <c r="H70" s="38" t="n">
        <f aca="false">IFERROR(xlookup(D70,'Lookup Reference'!$A$4:$A$6,'Lookup Reference'!$C$4:$C$6),INDEX('Lookup Reference'!$C$4:$C$6,MATCH(D70,'Lookup Reference'!$A$4:$A$6,0)))</f>
        <v>0.46</v>
      </c>
      <c r="I70" s="37" t="n">
        <f aca="false">G70*H70</f>
        <v>1186584.444</v>
      </c>
      <c r="J70" s="37" t="n">
        <f aca="false">G70-I70</f>
        <v>1392946.956</v>
      </c>
    </row>
    <row r="71" customFormat="false" ht="15" hidden="false" customHeight="true" outlineLevel="0" collapsed="false">
      <c r="A71" s="39" t="n">
        <v>45444</v>
      </c>
      <c r="B71" s="24" t="s">
        <v>77</v>
      </c>
      <c r="C71" s="24" t="s">
        <v>71</v>
      </c>
      <c r="D71" s="24" t="s">
        <v>44</v>
      </c>
      <c r="E71" s="40" t="n">
        <v>314</v>
      </c>
      <c r="F71" s="25" t="n">
        <v>6551.3</v>
      </c>
      <c r="G71" s="41" t="n">
        <f aca="false">E71*F71</f>
        <v>2057108.2</v>
      </c>
      <c r="H71" s="42" t="n">
        <f aca="false">IFERROR(xlookup(D71,'Lookup Reference'!$A$4:$A$6,'Lookup Reference'!$C$4:$C$6),INDEX('Lookup Reference'!$C$4:$C$6,MATCH(D71,'Lookup Reference'!$A$4:$A$6,0)))</f>
        <v>0.52</v>
      </c>
      <c r="I71" s="41" t="n">
        <f aca="false">G71*H71</f>
        <v>1069696.264</v>
      </c>
      <c r="J71" s="41" t="n">
        <f aca="false">G71-I71</f>
        <v>987411.936</v>
      </c>
    </row>
    <row r="72" customFormat="false" ht="15" hidden="false" customHeight="true" outlineLevel="0" collapsed="false">
      <c r="A72" s="35" t="n">
        <v>45444</v>
      </c>
      <c r="B72" s="8" t="s">
        <v>77</v>
      </c>
      <c r="C72" s="8" t="s">
        <v>71</v>
      </c>
      <c r="D72" s="8" t="s">
        <v>45</v>
      </c>
      <c r="E72" s="36" t="n">
        <v>409</v>
      </c>
      <c r="F72" s="21" t="n">
        <v>2362.67</v>
      </c>
      <c r="G72" s="37" t="n">
        <f aca="false">E72*F72</f>
        <v>966332.03</v>
      </c>
      <c r="H72" s="38" t="n">
        <f aca="false">IFERROR(xlookup(D72,'Lookup Reference'!$A$4:$A$6,'Lookup Reference'!$C$4:$C$6),INDEX('Lookup Reference'!$C$4:$C$6,MATCH(D72,'Lookup Reference'!$A$4:$A$6,0)))</f>
        <v>0.38</v>
      </c>
      <c r="I72" s="37" t="n">
        <f aca="false">G72*H72</f>
        <v>367206.1714</v>
      </c>
      <c r="J72" s="37" t="n">
        <f aca="false">G72-I72</f>
        <v>599125.8586</v>
      </c>
    </row>
    <row r="73" customFormat="false" ht="15" hidden="false" customHeight="true" outlineLevel="0" collapsed="false">
      <c r="A73" s="39" t="n">
        <v>45444</v>
      </c>
      <c r="B73" s="24" t="s">
        <v>77</v>
      </c>
      <c r="C73" s="24" t="s">
        <v>72</v>
      </c>
      <c r="D73" s="24" t="s">
        <v>43</v>
      </c>
      <c r="E73" s="40" t="n">
        <v>522</v>
      </c>
      <c r="F73" s="25" t="n">
        <v>3931.74</v>
      </c>
      <c r="G73" s="41" t="n">
        <f aca="false">E73*F73</f>
        <v>2052368.28</v>
      </c>
      <c r="H73" s="42" t="n">
        <f aca="false">IFERROR(xlookup(D73,'Lookup Reference'!$A$4:$A$6,'Lookup Reference'!$C$4:$C$6),INDEX('Lookup Reference'!$C$4:$C$6,MATCH(D73,'Lookup Reference'!$A$4:$A$6,0)))</f>
        <v>0.46</v>
      </c>
      <c r="I73" s="41" t="n">
        <f aca="false">G73*H73</f>
        <v>944089.4088</v>
      </c>
      <c r="J73" s="41" t="n">
        <f aca="false">G73-I73</f>
        <v>1108278.8712</v>
      </c>
    </row>
    <row r="74" customFormat="false" ht="15" hidden="false" customHeight="true" outlineLevel="0" collapsed="false">
      <c r="A74" s="35" t="n">
        <v>45444</v>
      </c>
      <c r="B74" s="8" t="s">
        <v>77</v>
      </c>
      <c r="C74" s="8" t="s">
        <v>72</v>
      </c>
      <c r="D74" s="8" t="s">
        <v>44</v>
      </c>
      <c r="E74" s="36" t="n">
        <v>302</v>
      </c>
      <c r="F74" s="21" t="n">
        <v>6584.73</v>
      </c>
      <c r="G74" s="37" t="n">
        <f aca="false">E74*F74</f>
        <v>1988588.46</v>
      </c>
      <c r="H74" s="38" t="n">
        <f aca="false">IFERROR(xlookup(D74,'Lookup Reference'!$A$4:$A$6,'Lookup Reference'!$C$4:$C$6),INDEX('Lookup Reference'!$C$4:$C$6,MATCH(D74,'Lookup Reference'!$A$4:$A$6,0)))</f>
        <v>0.52</v>
      </c>
      <c r="I74" s="37" t="n">
        <f aca="false">G74*H74</f>
        <v>1034065.9992</v>
      </c>
      <c r="J74" s="37" t="n">
        <f aca="false">G74-I74</f>
        <v>954522.4608</v>
      </c>
    </row>
    <row r="75" customFormat="false" ht="15" hidden="false" customHeight="true" outlineLevel="0" collapsed="false">
      <c r="A75" s="39" t="n">
        <v>45444</v>
      </c>
      <c r="B75" s="24" t="s">
        <v>77</v>
      </c>
      <c r="C75" s="24" t="s">
        <v>72</v>
      </c>
      <c r="D75" s="24" t="s">
        <v>45</v>
      </c>
      <c r="E75" s="40" t="n">
        <v>375</v>
      </c>
      <c r="F75" s="25" t="n">
        <v>2383.68</v>
      </c>
      <c r="G75" s="41" t="n">
        <f aca="false">E75*F75</f>
        <v>893880</v>
      </c>
      <c r="H75" s="42" t="n">
        <f aca="false">IFERROR(xlookup(D75,'Lookup Reference'!$A$4:$A$6,'Lookup Reference'!$C$4:$C$6),INDEX('Lookup Reference'!$C$4:$C$6,MATCH(D75,'Lookup Reference'!$A$4:$A$6,0)))</f>
        <v>0.38</v>
      </c>
      <c r="I75" s="41" t="n">
        <f aca="false">G75*H75</f>
        <v>339674.4</v>
      </c>
      <c r="J75" s="41" t="n">
        <f aca="false">G75-I75</f>
        <v>554205.6</v>
      </c>
    </row>
    <row r="76" customFormat="false" ht="15" hidden="false" customHeight="true" outlineLevel="0" collapsed="false">
      <c r="A76" s="35" t="n">
        <v>45474</v>
      </c>
      <c r="B76" s="8" t="s">
        <v>78</v>
      </c>
      <c r="C76" s="8" t="s">
        <v>69</v>
      </c>
      <c r="D76" s="8" t="s">
        <v>43</v>
      </c>
      <c r="E76" s="36" t="n">
        <v>517</v>
      </c>
      <c r="F76" s="21" t="n">
        <v>3958.48</v>
      </c>
      <c r="G76" s="37" t="n">
        <f aca="false">E76*F76</f>
        <v>2046534.16</v>
      </c>
      <c r="H76" s="38" t="n">
        <f aca="false">IFERROR(xlookup(D76,'Lookup Reference'!$A$4:$A$6,'Lookup Reference'!$C$4:$C$6),INDEX('Lookup Reference'!$C$4:$C$6,MATCH(D76,'Lookup Reference'!$A$4:$A$6,0)))</f>
        <v>0.46</v>
      </c>
      <c r="I76" s="37" t="n">
        <f aca="false">G76*H76</f>
        <v>941405.7136</v>
      </c>
      <c r="J76" s="37" t="n">
        <f aca="false">G76-I76</f>
        <v>1105128.4464</v>
      </c>
    </row>
    <row r="77" customFormat="false" ht="15" hidden="false" customHeight="true" outlineLevel="0" collapsed="false">
      <c r="A77" s="39" t="n">
        <v>45474</v>
      </c>
      <c r="B77" s="24" t="s">
        <v>78</v>
      </c>
      <c r="C77" s="24" t="s">
        <v>69</v>
      </c>
      <c r="D77" s="24" t="s">
        <v>44</v>
      </c>
      <c r="E77" s="40" t="n">
        <v>329</v>
      </c>
      <c r="F77" s="25" t="n">
        <v>6678.32</v>
      </c>
      <c r="G77" s="41" t="n">
        <f aca="false">E77*F77</f>
        <v>2197167.28</v>
      </c>
      <c r="H77" s="42" t="n">
        <f aca="false">IFERROR(xlookup(D77,'Lookup Reference'!$A$4:$A$6,'Lookup Reference'!$C$4:$C$6),INDEX('Lookup Reference'!$C$4:$C$6,MATCH(D77,'Lookup Reference'!$A$4:$A$6,0)))</f>
        <v>0.52</v>
      </c>
      <c r="I77" s="41" t="n">
        <f aca="false">G77*H77</f>
        <v>1142526.9856</v>
      </c>
      <c r="J77" s="41" t="n">
        <f aca="false">G77-I77</f>
        <v>1054640.2944</v>
      </c>
    </row>
    <row r="78" customFormat="false" ht="15" hidden="false" customHeight="true" outlineLevel="0" collapsed="false">
      <c r="A78" s="35" t="n">
        <v>45474</v>
      </c>
      <c r="B78" s="8" t="s">
        <v>78</v>
      </c>
      <c r="C78" s="8" t="s">
        <v>69</v>
      </c>
      <c r="D78" s="8" t="s">
        <v>45</v>
      </c>
      <c r="E78" s="36" t="n">
        <v>395</v>
      </c>
      <c r="F78" s="21" t="n">
        <v>2280.54</v>
      </c>
      <c r="G78" s="37" t="n">
        <f aca="false">E78*F78</f>
        <v>900813.3</v>
      </c>
      <c r="H78" s="38" t="n">
        <f aca="false">IFERROR(xlookup(D78,'Lookup Reference'!$A$4:$A$6,'Lookup Reference'!$C$4:$C$6),INDEX('Lookup Reference'!$C$4:$C$6,MATCH(D78,'Lookup Reference'!$A$4:$A$6,0)))</f>
        <v>0.38</v>
      </c>
      <c r="I78" s="37" t="n">
        <f aca="false">G78*H78</f>
        <v>342309.054</v>
      </c>
      <c r="J78" s="37" t="n">
        <f aca="false">G78-I78</f>
        <v>558504.246</v>
      </c>
    </row>
    <row r="79" customFormat="false" ht="15" hidden="false" customHeight="true" outlineLevel="0" collapsed="false">
      <c r="A79" s="39" t="n">
        <v>45474</v>
      </c>
      <c r="B79" s="24" t="s">
        <v>78</v>
      </c>
      <c r="C79" s="24" t="s">
        <v>70</v>
      </c>
      <c r="D79" s="24" t="s">
        <v>43</v>
      </c>
      <c r="E79" s="40" t="n">
        <v>518</v>
      </c>
      <c r="F79" s="25" t="n">
        <v>4098.86</v>
      </c>
      <c r="G79" s="41" t="n">
        <f aca="false">E79*F79</f>
        <v>2123209.48</v>
      </c>
      <c r="H79" s="42" t="n">
        <f aca="false">IFERROR(xlookup(D79,'Lookup Reference'!$A$4:$A$6,'Lookup Reference'!$C$4:$C$6),INDEX('Lookup Reference'!$C$4:$C$6,MATCH(D79,'Lookup Reference'!$A$4:$A$6,0)))</f>
        <v>0.46</v>
      </c>
      <c r="I79" s="41" t="n">
        <f aca="false">G79*H79</f>
        <v>976676.3608</v>
      </c>
      <c r="J79" s="41" t="n">
        <f aca="false">G79-I79</f>
        <v>1146533.1192</v>
      </c>
    </row>
    <row r="80" customFormat="false" ht="15" hidden="false" customHeight="true" outlineLevel="0" collapsed="false">
      <c r="A80" s="35" t="n">
        <v>45474</v>
      </c>
      <c r="B80" s="8" t="s">
        <v>78</v>
      </c>
      <c r="C80" s="8" t="s">
        <v>70</v>
      </c>
      <c r="D80" s="8" t="s">
        <v>44</v>
      </c>
      <c r="E80" s="36" t="n">
        <v>282</v>
      </c>
      <c r="F80" s="21" t="n">
        <v>6568.49</v>
      </c>
      <c r="G80" s="37" t="n">
        <f aca="false">E80*F80</f>
        <v>1852314.18</v>
      </c>
      <c r="H80" s="38" t="n">
        <f aca="false">IFERROR(xlookup(D80,'Lookup Reference'!$A$4:$A$6,'Lookup Reference'!$C$4:$C$6),INDEX('Lookup Reference'!$C$4:$C$6,MATCH(D80,'Lookup Reference'!$A$4:$A$6,0)))</f>
        <v>0.52</v>
      </c>
      <c r="I80" s="37" t="n">
        <f aca="false">G80*H80</f>
        <v>963203.3736</v>
      </c>
      <c r="J80" s="37" t="n">
        <f aca="false">G80-I80</f>
        <v>889110.8064</v>
      </c>
    </row>
    <row r="81" customFormat="false" ht="15" hidden="false" customHeight="true" outlineLevel="0" collapsed="false">
      <c r="A81" s="39" t="n">
        <v>45474</v>
      </c>
      <c r="B81" s="24" t="s">
        <v>78</v>
      </c>
      <c r="C81" s="24" t="s">
        <v>70</v>
      </c>
      <c r="D81" s="24" t="s">
        <v>45</v>
      </c>
      <c r="E81" s="40" t="n">
        <v>341</v>
      </c>
      <c r="F81" s="25" t="n">
        <v>2264.31</v>
      </c>
      <c r="G81" s="41" t="n">
        <f aca="false">E81*F81</f>
        <v>772129.71</v>
      </c>
      <c r="H81" s="42" t="n">
        <f aca="false">IFERROR(xlookup(D81,'Lookup Reference'!$A$4:$A$6,'Lookup Reference'!$C$4:$C$6),INDEX('Lookup Reference'!$C$4:$C$6,MATCH(D81,'Lookup Reference'!$A$4:$A$6,0)))</f>
        <v>0.38</v>
      </c>
      <c r="I81" s="41" t="n">
        <f aca="false">G81*H81</f>
        <v>293409.2898</v>
      </c>
      <c r="J81" s="41" t="n">
        <f aca="false">G81-I81</f>
        <v>478720.4202</v>
      </c>
    </row>
    <row r="82" customFormat="false" ht="15" hidden="false" customHeight="true" outlineLevel="0" collapsed="false">
      <c r="A82" s="35" t="n">
        <v>45474</v>
      </c>
      <c r="B82" s="8" t="s">
        <v>78</v>
      </c>
      <c r="C82" s="8" t="s">
        <v>71</v>
      </c>
      <c r="D82" s="8" t="s">
        <v>43</v>
      </c>
      <c r="E82" s="36" t="n">
        <v>539</v>
      </c>
      <c r="F82" s="21" t="n">
        <v>4079.76</v>
      </c>
      <c r="G82" s="37" t="n">
        <f aca="false">E82*F82</f>
        <v>2198990.64</v>
      </c>
      <c r="H82" s="38" t="n">
        <f aca="false">IFERROR(xlookup(D82,'Lookup Reference'!$A$4:$A$6,'Lookup Reference'!$C$4:$C$6),INDEX('Lookup Reference'!$C$4:$C$6,MATCH(D82,'Lookup Reference'!$A$4:$A$6,0)))</f>
        <v>0.46</v>
      </c>
      <c r="I82" s="37" t="n">
        <f aca="false">G82*H82</f>
        <v>1011535.6944</v>
      </c>
      <c r="J82" s="37" t="n">
        <f aca="false">G82-I82</f>
        <v>1187454.9456</v>
      </c>
    </row>
    <row r="83" customFormat="false" ht="15" hidden="false" customHeight="true" outlineLevel="0" collapsed="false">
      <c r="A83" s="39" t="n">
        <v>45474</v>
      </c>
      <c r="B83" s="24" t="s">
        <v>78</v>
      </c>
      <c r="C83" s="24" t="s">
        <v>71</v>
      </c>
      <c r="D83" s="24" t="s">
        <v>44</v>
      </c>
      <c r="E83" s="40" t="n">
        <v>324</v>
      </c>
      <c r="F83" s="25" t="n">
        <v>6413.78</v>
      </c>
      <c r="G83" s="41" t="n">
        <f aca="false">E83*F83</f>
        <v>2078064.72</v>
      </c>
      <c r="H83" s="42" t="n">
        <f aca="false">IFERROR(xlookup(D83,'Lookup Reference'!$A$4:$A$6,'Lookup Reference'!$C$4:$C$6),INDEX('Lookup Reference'!$C$4:$C$6,MATCH(D83,'Lookup Reference'!$A$4:$A$6,0)))</f>
        <v>0.52</v>
      </c>
      <c r="I83" s="41" t="n">
        <f aca="false">G83*H83</f>
        <v>1080593.6544</v>
      </c>
      <c r="J83" s="41" t="n">
        <f aca="false">G83-I83</f>
        <v>997471.0656</v>
      </c>
    </row>
    <row r="84" customFormat="false" ht="15" hidden="false" customHeight="true" outlineLevel="0" collapsed="false">
      <c r="A84" s="35" t="n">
        <v>45474</v>
      </c>
      <c r="B84" s="8" t="s">
        <v>78</v>
      </c>
      <c r="C84" s="8" t="s">
        <v>71</v>
      </c>
      <c r="D84" s="8" t="s">
        <v>45</v>
      </c>
      <c r="E84" s="36" t="n">
        <v>407</v>
      </c>
      <c r="F84" s="21" t="n">
        <v>2338.8</v>
      </c>
      <c r="G84" s="37" t="n">
        <f aca="false">E84*F84</f>
        <v>951891.6</v>
      </c>
      <c r="H84" s="38" t="n">
        <f aca="false">IFERROR(xlookup(D84,'Lookup Reference'!$A$4:$A$6,'Lookup Reference'!$C$4:$C$6),INDEX('Lookup Reference'!$C$4:$C$6,MATCH(D84,'Lookup Reference'!$A$4:$A$6,0)))</f>
        <v>0.38</v>
      </c>
      <c r="I84" s="37" t="n">
        <f aca="false">G84*H84</f>
        <v>361718.808</v>
      </c>
      <c r="J84" s="37" t="n">
        <f aca="false">G84-I84</f>
        <v>590172.792</v>
      </c>
    </row>
    <row r="85" customFormat="false" ht="15" hidden="false" customHeight="true" outlineLevel="0" collapsed="false">
      <c r="A85" s="39" t="n">
        <v>45474</v>
      </c>
      <c r="B85" s="24" t="s">
        <v>78</v>
      </c>
      <c r="C85" s="24" t="s">
        <v>72</v>
      </c>
      <c r="D85" s="24" t="s">
        <v>43</v>
      </c>
      <c r="E85" s="40" t="n">
        <v>456</v>
      </c>
      <c r="F85" s="25" t="n">
        <v>4180.99</v>
      </c>
      <c r="G85" s="41" t="n">
        <f aca="false">E85*F85</f>
        <v>1906531.44</v>
      </c>
      <c r="H85" s="42" t="n">
        <f aca="false">IFERROR(xlookup(D85,'Lookup Reference'!$A$4:$A$6,'Lookup Reference'!$C$4:$C$6),INDEX('Lookup Reference'!$C$4:$C$6,MATCH(D85,'Lookup Reference'!$A$4:$A$6,0)))</f>
        <v>0.46</v>
      </c>
      <c r="I85" s="41" t="n">
        <f aca="false">G85*H85</f>
        <v>877004.4624</v>
      </c>
      <c r="J85" s="41" t="n">
        <f aca="false">G85-I85</f>
        <v>1029526.9776</v>
      </c>
    </row>
    <row r="86" customFormat="false" ht="15" hidden="false" customHeight="true" outlineLevel="0" collapsed="false">
      <c r="A86" s="35" t="n">
        <v>45474</v>
      </c>
      <c r="B86" s="8" t="s">
        <v>78</v>
      </c>
      <c r="C86" s="8" t="s">
        <v>72</v>
      </c>
      <c r="D86" s="8" t="s">
        <v>44</v>
      </c>
      <c r="E86" s="36" t="n">
        <v>328</v>
      </c>
      <c r="F86" s="21" t="n">
        <v>6336.42</v>
      </c>
      <c r="G86" s="37" t="n">
        <f aca="false">E86*F86</f>
        <v>2078345.76</v>
      </c>
      <c r="H86" s="38" t="n">
        <f aca="false">IFERROR(xlookup(D86,'Lookup Reference'!$A$4:$A$6,'Lookup Reference'!$C$4:$C$6),INDEX('Lookup Reference'!$C$4:$C$6,MATCH(D86,'Lookup Reference'!$A$4:$A$6,0)))</f>
        <v>0.52</v>
      </c>
      <c r="I86" s="37" t="n">
        <f aca="false">G86*H86</f>
        <v>1080739.7952</v>
      </c>
      <c r="J86" s="37" t="n">
        <f aca="false">G86-I86</f>
        <v>997605.9648</v>
      </c>
    </row>
    <row r="87" customFormat="false" ht="15" hidden="false" customHeight="true" outlineLevel="0" collapsed="false">
      <c r="A87" s="39" t="n">
        <v>45474</v>
      </c>
      <c r="B87" s="24" t="s">
        <v>78</v>
      </c>
      <c r="C87" s="24" t="s">
        <v>72</v>
      </c>
      <c r="D87" s="24" t="s">
        <v>45</v>
      </c>
      <c r="E87" s="40" t="n">
        <v>370</v>
      </c>
      <c r="F87" s="25" t="n">
        <v>2345.48</v>
      </c>
      <c r="G87" s="41" t="n">
        <f aca="false">E87*F87</f>
        <v>867827.6</v>
      </c>
      <c r="H87" s="42" t="n">
        <f aca="false">IFERROR(xlookup(D87,'Lookup Reference'!$A$4:$A$6,'Lookup Reference'!$C$4:$C$6),INDEX('Lookup Reference'!$C$4:$C$6,MATCH(D87,'Lookup Reference'!$A$4:$A$6,0)))</f>
        <v>0.38</v>
      </c>
      <c r="I87" s="41" t="n">
        <f aca="false">G87*H87</f>
        <v>329774.488</v>
      </c>
      <c r="J87" s="41" t="n">
        <f aca="false">G87-I87</f>
        <v>538053.112</v>
      </c>
    </row>
    <row r="88" customFormat="false" ht="15" hidden="false" customHeight="true" outlineLevel="0" collapsed="false">
      <c r="A88" s="35" t="n">
        <v>45505</v>
      </c>
      <c r="B88" s="8" t="s">
        <v>79</v>
      </c>
      <c r="C88" s="8" t="s">
        <v>69</v>
      </c>
      <c r="D88" s="8" t="s">
        <v>43</v>
      </c>
      <c r="E88" s="36" t="n">
        <v>468</v>
      </c>
      <c r="F88" s="21" t="n">
        <v>3932.69</v>
      </c>
      <c r="G88" s="37" t="n">
        <f aca="false">E88*F88</f>
        <v>1840498.92</v>
      </c>
      <c r="H88" s="38" t="n">
        <f aca="false">IFERROR(xlookup(D88,'Lookup Reference'!$A$4:$A$6,'Lookup Reference'!$C$4:$C$6),INDEX('Lookup Reference'!$C$4:$C$6,MATCH(D88,'Lookup Reference'!$A$4:$A$6,0)))</f>
        <v>0.46</v>
      </c>
      <c r="I88" s="37" t="n">
        <f aca="false">G88*H88</f>
        <v>846629.5032</v>
      </c>
      <c r="J88" s="37" t="n">
        <f aca="false">G88-I88</f>
        <v>993869.4168</v>
      </c>
    </row>
    <row r="89" customFormat="false" ht="15" hidden="false" customHeight="true" outlineLevel="0" collapsed="false">
      <c r="A89" s="39" t="n">
        <v>45505</v>
      </c>
      <c r="B89" s="24" t="s">
        <v>79</v>
      </c>
      <c r="C89" s="24" t="s">
        <v>69</v>
      </c>
      <c r="D89" s="24" t="s">
        <v>44</v>
      </c>
      <c r="E89" s="40" t="n">
        <v>344</v>
      </c>
      <c r="F89" s="25" t="n">
        <v>6596.18</v>
      </c>
      <c r="G89" s="41" t="n">
        <f aca="false">E89*F89</f>
        <v>2269085.92</v>
      </c>
      <c r="H89" s="42" t="n">
        <f aca="false">IFERROR(xlookup(D89,'Lookup Reference'!$A$4:$A$6,'Lookup Reference'!$C$4:$C$6),INDEX('Lookup Reference'!$C$4:$C$6,MATCH(D89,'Lookup Reference'!$A$4:$A$6,0)))</f>
        <v>0.52</v>
      </c>
      <c r="I89" s="41" t="n">
        <f aca="false">G89*H89</f>
        <v>1179924.6784</v>
      </c>
      <c r="J89" s="41" t="n">
        <f aca="false">G89-I89</f>
        <v>1089161.2416</v>
      </c>
    </row>
    <row r="90" customFormat="false" ht="15" hidden="false" customHeight="true" outlineLevel="0" collapsed="false">
      <c r="A90" s="35" t="n">
        <v>45505</v>
      </c>
      <c r="B90" s="8" t="s">
        <v>79</v>
      </c>
      <c r="C90" s="8" t="s">
        <v>69</v>
      </c>
      <c r="D90" s="8" t="s">
        <v>45</v>
      </c>
      <c r="E90" s="36" t="n">
        <v>404</v>
      </c>
      <c r="F90" s="21" t="n">
        <v>2367.44</v>
      </c>
      <c r="G90" s="37" t="n">
        <f aca="false">E90*F90</f>
        <v>956445.76</v>
      </c>
      <c r="H90" s="38" t="n">
        <f aca="false">IFERROR(xlookup(D90,'Lookup Reference'!$A$4:$A$6,'Lookup Reference'!$C$4:$C$6),INDEX('Lookup Reference'!$C$4:$C$6,MATCH(D90,'Lookup Reference'!$A$4:$A$6,0)))</f>
        <v>0.38</v>
      </c>
      <c r="I90" s="37" t="n">
        <f aca="false">G90*H90</f>
        <v>363449.3888</v>
      </c>
      <c r="J90" s="37" t="n">
        <f aca="false">G90-I90</f>
        <v>592996.3712</v>
      </c>
    </row>
    <row r="91" customFormat="false" ht="15" hidden="false" customHeight="true" outlineLevel="0" collapsed="false">
      <c r="A91" s="39" t="n">
        <v>45505</v>
      </c>
      <c r="B91" s="24" t="s">
        <v>79</v>
      </c>
      <c r="C91" s="24" t="s">
        <v>70</v>
      </c>
      <c r="D91" s="24" t="s">
        <v>43</v>
      </c>
      <c r="E91" s="40" t="n">
        <v>475</v>
      </c>
      <c r="F91" s="25" t="n">
        <v>3951.79</v>
      </c>
      <c r="G91" s="41" t="n">
        <f aca="false">E91*F91</f>
        <v>1877100.25</v>
      </c>
      <c r="H91" s="42" t="n">
        <f aca="false">IFERROR(xlookup(D91,'Lookup Reference'!$A$4:$A$6,'Lookup Reference'!$C$4:$C$6),INDEX('Lookup Reference'!$C$4:$C$6,MATCH(D91,'Lookup Reference'!$A$4:$A$6,0)))</f>
        <v>0.46</v>
      </c>
      <c r="I91" s="41" t="n">
        <f aca="false">G91*H91</f>
        <v>863466.115</v>
      </c>
      <c r="J91" s="41" t="n">
        <f aca="false">G91-I91</f>
        <v>1013634.135</v>
      </c>
    </row>
    <row r="92" customFormat="false" ht="15" hidden="false" customHeight="true" outlineLevel="0" collapsed="false">
      <c r="A92" s="35" t="n">
        <v>45505</v>
      </c>
      <c r="B92" s="8" t="s">
        <v>79</v>
      </c>
      <c r="C92" s="8" t="s">
        <v>70</v>
      </c>
      <c r="D92" s="8" t="s">
        <v>44</v>
      </c>
      <c r="E92" s="36" t="n">
        <v>247</v>
      </c>
      <c r="F92" s="21" t="n">
        <v>6522.65</v>
      </c>
      <c r="G92" s="37" t="n">
        <f aca="false">E92*F92</f>
        <v>1611094.55</v>
      </c>
      <c r="H92" s="38" t="n">
        <f aca="false">IFERROR(xlookup(D92,'Lookup Reference'!$A$4:$A$6,'Lookup Reference'!$C$4:$C$6),INDEX('Lookup Reference'!$C$4:$C$6,MATCH(D92,'Lookup Reference'!$A$4:$A$6,0)))</f>
        <v>0.52</v>
      </c>
      <c r="I92" s="37" t="n">
        <f aca="false">G92*H92</f>
        <v>837769.166</v>
      </c>
      <c r="J92" s="37" t="n">
        <f aca="false">G92-I92</f>
        <v>773325.384</v>
      </c>
    </row>
    <row r="93" customFormat="false" ht="15" hidden="false" customHeight="true" outlineLevel="0" collapsed="false">
      <c r="A93" s="39" t="n">
        <v>45505</v>
      </c>
      <c r="B93" s="24" t="s">
        <v>79</v>
      </c>
      <c r="C93" s="24" t="s">
        <v>70</v>
      </c>
      <c r="D93" s="24" t="s">
        <v>45</v>
      </c>
      <c r="E93" s="40" t="n">
        <v>352</v>
      </c>
      <c r="F93" s="25" t="n">
        <v>2309.19</v>
      </c>
      <c r="G93" s="41" t="n">
        <f aca="false">E93*F93</f>
        <v>812834.88</v>
      </c>
      <c r="H93" s="42" t="n">
        <f aca="false">IFERROR(xlookup(D93,'Lookup Reference'!$A$4:$A$6,'Lookup Reference'!$C$4:$C$6),INDEX('Lookup Reference'!$C$4:$C$6,MATCH(D93,'Lookup Reference'!$A$4:$A$6,0)))</f>
        <v>0.38</v>
      </c>
      <c r="I93" s="41" t="n">
        <f aca="false">G93*H93</f>
        <v>308877.2544</v>
      </c>
      <c r="J93" s="41" t="n">
        <f aca="false">G93-I93</f>
        <v>503957.6256</v>
      </c>
    </row>
    <row r="94" customFormat="false" ht="15" hidden="false" customHeight="true" outlineLevel="0" collapsed="false">
      <c r="A94" s="35" t="n">
        <v>45505</v>
      </c>
      <c r="B94" s="8" t="s">
        <v>79</v>
      </c>
      <c r="C94" s="8" t="s">
        <v>71</v>
      </c>
      <c r="D94" s="8" t="s">
        <v>43</v>
      </c>
      <c r="E94" s="36" t="n">
        <v>565</v>
      </c>
      <c r="F94" s="21" t="n">
        <v>4106.5</v>
      </c>
      <c r="G94" s="37" t="n">
        <f aca="false">E94*F94</f>
        <v>2320172.5</v>
      </c>
      <c r="H94" s="38" t="n">
        <f aca="false">IFERROR(xlookup(D94,'Lookup Reference'!$A$4:$A$6,'Lookup Reference'!$C$4:$C$6),INDEX('Lookup Reference'!$C$4:$C$6,MATCH(D94,'Lookup Reference'!$A$4:$A$6,0)))</f>
        <v>0.46</v>
      </c>
      <c r="I94" s="37" t="n">
        <f aca="false">G94*H94</f>
        <v>1067279.35</v>
      </c>
      <c r="J94" s="37" t="n">
        <f aca="false">G94-I94</f>
        <v>1252893.15</v>
      </c>
    </row>
    <row r="95" customFormat="false" ht="15" hidden="false" customHeight="true" outlineLevel="0" collapsed="false">
      <c r="A95" s="39" t="n">
        <v>45505</v>
      </c>
      <c r="B95" s="24" t="s">
        <v>79</v>
      </c>
      <c r="C95" s="24" t="s">
        <v>71</v>
      </c>
      <c r="D95" s="24" t="s">
        <v>44</v>
      </c>
      <c r="E95" s="40" t="n">
        <v>370</v>
      </c>
      <c r="F95" s="25" t="n">
        <v>6350.75</v>
      </c>
      <c r="G95" s="41" t="n">
        <f aca="false">E95*F95</f>
        <v>2349777.5</v>
      </c>
      <c r="H95" s="42" t="n">
        <f aca="false">IFERROR(xlookup(D95,'Lookup Reference'!$A$4:$A$6,'Lookup Reference'!$C$4:$C$6),INDEX('Lookup Reference'!$C$4:$C$6,MATCH(D95,'Lookup Reference'!$A$4:$A$6,0)))</f>
        <v>0.52</v>
      </c>
      <c r="I95" s="41" t="n">
        <f aca="false">G95*H95</f>
        <v>1221884.3</v>
      </c>
      <c r="J95" s="41" t="n">
        <f aca="false">G95-I95</f>
        <v>1127893.2</v>
      </c>
    </row>
    <row r="96" customFormat="false" ht="15" hidden="false" customHeight="true" outlineLevel="0" collapsed="false">
      <c r="A96" s="35" t="n">
        <v>45505</v>
      </c>
      <c r="B96" s="8" t="s">
        <v>79</v>
      </c>
      <c r="C96" s="8" t="s">
        <v>71</v>
      </c>
      <c r="D96" s="8" t="s">
        <v>45</v>
      </c>
      <c r="E96" s="36" t="n">
        <v>423</v>
      </c>
      <c r="F96" s="21" t="n">
        <v>2285.32</v>
      </c>
      <c r="G96" s="37" t="n">
        <f aca="false">E96*F96</f>
        <v>966690.36</v>
      </c>
      <c r="H96" s="38" t="n">
        <f aca="false">IFERROR(xlookup(D96,'Lookup Reference'!$A$4:$A$6,'Lookup Reference'!$C$4:$C$6),INDEX('Lookup Reference'!$C$4:$C$6,MATCH(D96,'Lookup Reference'!$A$4:$A$6,0)))</f>
        <v>0.38</v>
      </c>
      <c r="I96" s="37" t="n">
        <f aca="false">G96*H96</f>
        <v>367342.3368</v>
      </c>
      <c r="J96" s="37" t="n">
        <f aca="false">G96-I96</f>
        <v>599348.0232</v>
      </c>
    </row>
    <row r="97" customFormat="false" ht="15" hidden="false" customHeight="true" outlineLevel="0" collapsed="false">
      <c r="A97" s="39" t="n">
        <v>45505</v>
      </c>
      <c r="B97" s="24" t="s">
        <v>79</v>
      </c>
      <c r="C97" s="24" t="s">
        <v>72</v>
      </c>
      <c r="D97" s="24" t="s">
        <v>43</v>
      </c>
      <c r="E97" s="40" t="n">
        <v>506</v>
      </c>
      <c r="F97" s="25" t="n">
        <v>3970.89</v>
      </c>
      <c r="G97" s="41" t="n">
        <f aca="false">E97*F97</f>
        <v>2009270.34</v>
      </c>
      <c r="H97" s="42" t="n">
        <f aca="false">IFERROR(xlookup(D97,'Lookup Reference'!$A$4:$A$6,'Lookup Reference'!$C$4:$C$6),INDEX('Lookup Reference'!$C$4:$C$6,MATCH(D97,'Lookup Reference'!$A$4:$A$6,0)))</f>
        <v>0.46</v>
      </c>
      <c r="I97" s="41" t="n">
        <f aca="false">G97*H97</f>
        <v>924264.3564</v>
      </c>
      <c r="J97" s="41" t="n">
        <f aca="false">G97-I97</f>
        <v>1085005.9836</v>
      </c>
    </row>
    <row r="98" customFormat="false" ht="15" hidden="false" customHeight="true" outlineLevel="0" collapsed="false">
      <c r="A98" s="35" t="n">
        <v>45505</v>
      </c>
      <c r="B98" s="8" t="s">
        <v>79</v>
      </c>
      <c r="C98" s="8" t="s">
        <v>72</v>
      </c>
      <c r="D98" s="8" t="s">
        <v>44</v>
      </c>
      <c r="E98" s="36" t="n">
        <v>267</v>
      </c>
      <c r="F98" s="21" t="n">
        <v>6532.2</v>
      </c>
      <c r="G98" s="37" t="n">
        <f aca="false">E98*F98</f>
        <v>1744097.4</v>
      </c>
      <c r="H98" s="38" t="n">
        <f aca="false">IFERROR(xlookup(D98,'Lookup Reference'!$A$4:$A$6,'Lookup Reference'!$C$4:$C$6),INDEX('Lookup Reference'!$C$4:$C$6,MATCH(D98,'Lookup Reference'!$A$4:$A$6,0)))</f>
        <v>0.52</v>
      </c>
      <c r="I98" s="37" t="n">
        <f aca="false">G98*H98</f>
        <v>906930.648</v>
      </c>
      <c r="J98" s="37" t="n">
        <f aca="false">G98-I98</f>
        <v>837166.752</v>
      </c>
    </row>
    <row r="99" customFormat="false" ht="15" hidden="false" customHeight="true" outlineLevel="0" collapsed="false">
      <c r="A99" s="39" t="n">
        <v>45505</v>
      </c>
      <c r="B99" s="24" t="s">
        <v>79</v>
      </c>
      <c r="C99" s="24" t="s">
        <v>72</v>
      </c>
      <c r="D99" s="24" t="s">
        <v>45</v>
      </c>
      <c r="E99" s="40" t="n">
        <v>370</v>
      </c>
      <c r="F99" s="25" t="n">
        <v>2273.86</v>
      </c>
      <c r="G99" s="41" t="n">
        <f aca="false">E99*F99</f>
        <v>841328.2</v>
      </c>
      <c r="H99" s="42" t="n">
        <f aca="false">IFERROR(xlookup(D99,'Lookup Reference'!$A$4:$A$6,'Lookup Reference'!$C$4:$C$6),INDEX('Lookup Reference'!$C$4:$C$6,MATCH(D99,'Lookup Reference'!$A$4:$A$6,0)))</f>
        <v>0.38</v>
      </c>
      <c r="I99" s="41" t="n">
        <f aca="false">G99*H99</f>
        <v>319704.716</v>
      </c>
      <c r="J99" s="41" t="n">
        <f aca="false">G99-I99</f>
        <v>521623.484</v>
      </c>
    </row>
    <row r="100" customFormat="false" ht="15" hidden="false" customHeight="true" outlineLevel="0" collapsed="false">
      <c r="A100" s="35" t="n">
        <v>45536</v>
      </c>
      <c r="B100" s="8" t="s">
        <v>80</v>
      </c>
      <c r="C100" s="8" t="s">
        <v>69</v>
      </c>
      <c r="D100" s="8" t="s">
        <v>43</v>
      </c>
      <c r="E100" s="36" t="n">
        <v>469</v>
      </c>
      <c r="F100" s="21" t="n">
        <v>4186.72</v>
      </c>
      <c r="G100" s="37" t="n">
        <f aca="false">E100*F100</f>
        <v>1963571.68</v>
      </c>
      <c r="H100" s="38" t="n">
        <f aca="false">IFERROR(xlookup(D100,'Lookup Reference'!$A$4:$A$6,'Lookup Reference'!$C$4:$C$6),INDEX('Lookup Reference'!$C$4:$C$6,MATCH(D100,'Lookup Reference'!$A$4:$A$6,0)))</f>
        <v>0.46</v>
      </c>
      <c r="I100" s="37" t="n">
        <f aca="false">G100*H100</f>
        <v>903242.9728</v>
      </c>
      <c r="J100" s="37" t="n">
        <f aca="false">G100-I100</f>
        <v>1060328.7072</v>
      </c>
    </row>
    <row r="101" customFormat="false" ht="15" hidden="false" customHeight="true" outlineLevel="0" collapsed="false">
      <c r="A101" s="39" t="n">
        <v>45536</v>
      </c>
      <c r="B101" s="24" t="s">
        <v>80</v>
      </c>
      <c r="C101" s="24" t="s">
        <v>69</v>
      </c>
      <c r="D101" s="24" t="s">
        <v>44</v>
      </c>
      <c r="E101" s="40" t="n">
        <v>305</v>
      </c>
      <c r="F101" s="25" t="n">
        <v>6747.08</v>
      </c>
      <c r="G101" s="41" t="n">
        <f aca="false">E101*F101</f>
        <v>2057859.4</v>
      </c>
      <c r="H101" s="42" t="n">
        <f aca="false">IFERROR(xlookup(D101,'Lookup Reference'!$A$4:$A$6,'Lookup Reference'!$C$4:$C$6),INDEX('Lookup Reference'!$C$4:$C$6,MATCH(D101,'Lookup Reference'!$A$4:$A$6,0)))</f>
        <v>0.52</v>
      </c>
      <c r="I101" s="41" t="n">
        <f aca="false">G101*H101</f>
        <v>1070086.888</v>
      </c>
      <c r="J101" s="41" t="n">
        <f aca="false">G101-I101</f>
        <v>987772.512</v>
      </c>
    </row>
    <row r="102" customFormat="false" ht="15" hidden="false" customHeight="true" outlineLevel="0" collapsed="false">
      <c r="A102" s="35" t="n">
        <v>45536</v>
      </c>
      <c r="B102" s="8" t="s">
        <v>80</v>
      </c>
      <c r="C102" s="8" t="s">
        <v>69</v>
      </c>
      <c r="D102" s="8" t="s">
        <v>45</v>
      </c>
      <c r="E102" s="36" t="n">
        <v>409</v>
      </c>
      <c r="F102" s="21" t="n">
        <v>2232.79</v>
      </c>
      <c r="G102" s="37" t="n">
        <f aca="false">E102*F102</f>
        <v>913211.11</v>
      </c>
      <c r="H102" s="38" t="n">
        <f aca="false">IFERROR(xlookup(D102,'Lookup Reference'!$A$4:$A$6,'Lookup Reference'!$C$4:$C$6),INDEX('Lookup Reference'!$C$4:$C$6,MATCH(D102,'Lookup Reference'!$A$4:$A$6,0)))</f>
        <v>0.38</v>
      </c>
      <c r="I102" s="37" t="n">
        <f aca="false">G102*H102</f>
        <v>347020.2218</v>
      </c>
      <c r="J102" s="37" t="n">
        <f aca="false">G102-I102</f>
        <v>566190.8882</v>
      </c>
    </row>
    <row r="103" customFormat="false" ht="15" hidden="false" customHeight="true" outlineLevel="0" collapsed="false">
      <c r="A103" s="39" t="n">
        <v>45536</v>
      </c>
      <c r="B103" s="24" t="s">
        <v>80</v>
      </c>
      <c r="C103" s="24" t="s">
        <v>70</v>
      </c>
      <c r="D103" s="24" t="s">
        <v>43</v>
      </c>
      <c r="E103" s="40" t="n">
        <v>492</v>
      </c>
      <c r="F103" s="25" t="n">
        <v>4159.02</v>
      </c>
      <c r="G103" s="41" t="n">
        <f aca="false">E103*F103</f>
        <v>2046237.84</v>
      </c>
      <c r="H103" s="42" t="n">
        <f aca="false">IFERROR(xlookup(D103,'Lookup Reference'!$A$4:$A$6,'Lookup Reference'!$C$4:$C$6),INDEX('Lookup Reference'!$C$4:$C$6,MATCH(D103,'Lookup Reference'!$A$4:$A$6,0)))</f>
        <v>0.46</v>
      </c>
      <c r="I103" s="41" t="n">
        <f aca="false">G103*H103</f>
        <v>941269.4064</v>
      </c>
      <c r="J103" s="41" t="n">
        <f aca="false">G103-I103</f>
        <v>1104968.4336</v>
      </c>
    </row>
    <row r="104" customFormat="false" ht="15" hidden="false" customHeight="true" outlineLevel="0" collapsed="false">
      <c r="A104" s="35" t="n">
        <v>45536</v>
      </c>
      <c r="B104" s="8" t="s">
        <v>80</v>
      </c>
      <c r="C104" s="8" t="s">
        <v>70</v>
      </c>
      <c r="D104" s="8" t="s">
        <v>44</v>
      </c>
      <c r="E104" s="36" t="n">
        <v>302</v>
      </c>
      <c r="F104" s="21" t="n">
        <v>6780.5</v>
      </c>
      <c r="G104" s="37" t="n">
        <f aca="false">E104*F104</f>
        <v>2047711</v>
      </c>
      <c r="H104" s="38" t="n">
        <f aca="false">IFERROR(xlookup(D104,'Lookup Reference'!$A$4:$A$6,'Lookup Reference'!$C$4:$C$6),INDEX('Lookup Reference'!$C$4:$C$6,MATCH(D104,'Lookup Reference'!$A$4:$A$6,0)))</f>
        <v>0.52</v>
      </c>
      <c r="I104" s="37" t="n">
        <f aca="false">G104*H104</f>
        <v>1064809.72</v>
      </c>
      <c r="J104" s="37" t="n">
        <f aca="false">G104-I104</f>
        <v>982901.28</v>
      </c>
    </row>
    <row r="105" customFormat="false" ht="15" hidden="false" customHeight="true" outlineLevel="0" collapsed="false">
      <c r="A105" s="39" t="n">
        <v>45536</v>
      </c>
      <c r="B105" s="24" t="s">
        <v>80</v>
      </c>
      <c r="C105" s="24" t="s">
        <v>70</v>
      </c>
      <c r="D105" s="24" t="s">
        <v>45</v>
      </c>
      <c r="E105" s="40" t="n">
        <v>385</v>
      </c>
      <c r="F105" s="25" t="n">
        <v>2253.8</v>
      </c>
      <c r="G105" s="41" t="n">
        <f aca="false">E105*F105</f>
        <v>867713</v>
      </c>
      <c r="H105" s="42" t="n">
        <f aca="false">IFERROR(xlookup(D105,'Lookup Reference'!$A$4:$A$6,'Lookup Reference'!$C$4:$C$6),INDEX('Lookup Reference'!$C$4:$C$6,MATCH(D105,'Lookup Reference'!$A$4:$A$6,0)))</f>
        <v>0.38</v>
      </c>
      <c r="I105" s="41" t="n">
        <f aca="false">G105*H105</f>
        <v>329730.94</v>
      </c>
      <c r="J105" s="41" t="n">
        <f aca="false">G105-I105</f>
        <v>537982.06</v>
      </c>
    </row>
    <row r="106" customFormat="false" ht="15" hidden="false" customHeight="true" outlineLevel="0" collapsed="false">
      <c r="A106" s="35" t="n">
        <v>45536</v>
      </c>
      <c r="B106" s="8" t="s">
        <v>80</v>
      </c>
      <c r="C106" s="8" t="s">
        <v>71</v>
      </c>
      <c r="D106" s="8" t="s">
        <v>43</v>
      </c>
      <c r="E106" s="36" t="n">
        <v>530</v>
      </c>
      <c r="F106" s="21" t="n">
        <v>3959.43</v>
      </c>
      <c r="G106" s="37" t="n">
        <f aca="false">E106*F106</f>
        <v>2098497.9</v>
      </c>
      <c r="H106" s="38" t="n">
        <f aca="false">IFERROR(xlookup(D106,'Lookup Reference'!$A$4:$A$6,'Lookup Reference'!$C$4:$C$6),INDEX('Lookup Reference'!$C$4:$C$6,MATCH(D106,'Lookup Reference'!$A$4:$A$6,0)))</f>
        <v>0.46</v>
      </c>
      <c r="I106" s="37" t="n">
        <f aca="false">G106*H106</f>
        <v>965309.034</v>
      </c>
      <c r="J106" s="37" t="n">
        <f aca="false">G106-I106</f>
        <v>1133188.866</v>
      </c>
    </row>
    <row r="107" customFormat="false" ht="15" hidden="false" customHeight="true" outlineLevel="0" collapsed="false">
      <c r="A107" s="39" t="n">
        <v>45536</v>
      </c>
      <c r="B107" s="24" t="s">
        <v>80</v>
      </c>
      <c r="C107" s="24" t="s">
        <v>71</v>
      </c>
      <c r="D107" s="24" t="s">
        <v>44</v>
      </c>
      <c r="E107" s="40" t="n">
        <v>321</v>
      </c>
      <c r="F107" s="25" t="n">
        <v>6329.74</v>
      </c>
      <c r="G107" s="41" t="n">
        <f aca="false">E107*F107</f>
        <v>2031846.54</v>
      </c>
      <c r="H107" s="42" t="n">
        <f aca="false">IFERROR(xlookup(D107,'Lookup Reference'!$A$4:$A$6,'Lookup Reference'!$C$4:$C$6),INDEX('Lookup Reference'!$C$4:$C$6,MATCH(D107,'Lookup Reference'!$A$4:$A$6,0)))</f>
        <v>0.52</v>
      </c>
      <c r="I107" s="41" t="n">
        <f aca="false">G107*H107</f>
        <v>1056560.2008</v>
      </c>
      <c r="J107" s="41" t="n">
        <f aca="false">G107-I107</f>
        <v>975286.3392</v>
      </c>
    </row>
    <row r="108" customFormat="false" ht="15" hidden="false" customHeight="true" outlineLevel="0" collapsed="false">
      <c r="A108" s="35" t="n">
        <v>45536</v>
      </c>
      <c r="B108" s="8" t="s">
        <v>80</v>
      </c>
      <c r="C108" s="8" t="s">
        <v>71</v>
      </c>
      <c r="D108" s="8" t="s">
        <v>45</v>
      </c>
      <c r="E108" s="36" t="n">
        <v>418</v>
      </c>
      <c r="F108" s="21" t="n">
        <v>2403.74</v>
      </c>
      <c r="G108" s="37" t="n">
        <f aca="false">E108*F108</f>
        <v>1004763.32</v>
      </c>
      <c r="H108" s="38" t="n">
        <f aca="false">IFERROR(xlookup(D108,'Lookup Reference'!$A$4:$A$6,'Lookup Reference'!$C$4:$C$6),INDEX('Lookup Reference'!$C$4:$C$6,MATCH(D108,'Lookup Reference'!$A$4:$A$6,0)))</f>
        <v>0.38</v>
      </c>
      <c r="I108" s="37" t="n">
        <f aca="false">G108*H108</f>
        <v>381810.0616</v>
      </c>
      <c r="J108" s="37" t="n">
        <f aca="false">G108-I108</f>
        <v>622953.2584</v>
      </c>
    </row>
    <row r="109" customFormat="false" ht="15" hidden="false" customHeight="true" outlineLevel="0" collapsed="false">
      <c r="A109" s="39" t="n">
        <v>45536</v>
      </c>
      <c r="B109" s="24" t="s">
        <v>80</v>
      </c>
      <c r="C109" s="24" t="s">
        <v>72</v>
      </c>
      <c r="D109" s="24" t="s">
        <v>43</v>
      </c>
      <c r="E109" s="40" t="n">
        <v>436</v>
      </c>
      <c r="F109" s="25" t="n">
        <v>4141.84</v>
      </c>
      <c r="G109" s="41" t="n">
        <f aca="false">E109*F109</f>
        <v>1805842.24</v>
      </c>
      <c r="H109" s="42" t="n">
        <f aca="false">IFERROR(xlookup(D109,'Lookup Reference'!$A$4:$A$6,'Lookup Reference'!$C$4:$C$6),INDEX('Lookup Reference'!$C$4:$C$6,MATCH(D109,'Lookup Reference'!$A$4:$A$6,0)))</f>
        <v>0.46</v>
      </c>
      <c r="I109" s="41" t="n">
        <f aca="false">G109*H109</f>
        <v>830687.4304</v>
      </c>
      <c r="J109" s="41" t="n">
        <f aca="false">G109-I109</f>
        <v>975154.8096</v>
      </c>
    </row>
    <row r="110" customFormat="false" ht="15" hidden="false" customHeight="true" outlineLevel="0" collapsed="false">
      <c r="A110" s="35" t="n">
        <v>45536</v>
      </c>
      <c r="B110" s="8" t="s">
        <v>80</v>
      </c>
      <c r="C110" s="8" t="s">
        <v>72</v>
      </c>
      <c r="D110" s="8" t="s">
        <v>44</v>
      </c>
      <c r="E110" s="36" t="n">
        <v>283</v>
      </c>
      <c r="F110" s="21" t="n">
        <v>6518.83</v>
      </c>
      <c r="G110" s="37" t="n">
        <f aca="false">E110*F110</f>
        <v>1844828.89</v>
      </c>
      <c r="H110" s="38" t="n">
        <f aca="false">IFERROR(xlookup(D110,'Lookup Reference'!$A$4:$A$6,'Lookup Reference'!$C$4:$C$6),INDEX('Lookup Reference'!$C$4:$C$6,MATCH(D110,'Lookup Reference'!$A$4:$A$6,0)))</f>
        <v>0.52</v>
      </c>
      <c r="I110" s="37" t="n">
        <f aca="false">G110*H110</f>
        <v>959311.0228</v>
      </c>
      <c r="J110" s="37" t="n">
        <f aca="false">G110-I110</f>
        <v>885517.8672</v>
      </c>
    </row>
    <row r="111" customFormat="false" ht="15" hidden="false" customHeight="true" outlineLevel="0" collapsed="false">
      <c r="A111" s="39" t="n">
        <v>45536</v>
      </c>
      <c r="B111" s="24" t="s">
        <v>80</v>
      </c>
      <c r="C111" s="24" t="s">
        <v>72</v>
      </c>
      <c r="D111" s="24" t="s">
        <v>45</v>
      </c>
      <c r="E111" s="40" t="n">
        <v>415</v>
      </c>
      <c r="F111" s="25" t="n">
        <v>2405.64</v>
      </c>
      <c r="G111" s="41" t="n">
        <f aca="false">E111*F111</f>
        <v>998340.6</v>
      </c>
      <c r="H111" s="42" t="n">
        <f aca="false">IFERROR(xlookup(D111,'Lookup Reference'!$A$4:$A$6,'Lookup Reference'!$C$4:$C$6),INDEX('Lookup Reference'!$C$4:$C$6,MATCH(D111,'Lookup Reference'!$A$4:$A$6,0)))</f>
        <v>0.38</v>
      </c>
      <c r="I111" s="41" t="n">
        <f aca="false">G111*H111</f>
        <v>379369.428</v>
      </c>
      <c r="J111" s="41" t="n">
        <f aca="false">G111-I111</f>
        <v>618971.172</v>
      </c>
    </row>
    <row r="112" customFormat="false" ht="15" hidden="false" customHeight="true" outlineLevel="0" collapsed="false">
      <c r="A112" s="35" t="n">
        <v>45566</v>
      </c>
      <c r="B112" s="8" t="s">
        <v>81</v>
      </c>
      <c r="C112" s="8" t="s">
        <v>69</v>
      </c>
      <c r="D112" s="8" t="s">
        <v>43</v>
      </c>
      <c r="E112" s="36" t="n">
        <v>563</v>
      </c>
      <c r="F112" s="21" t="n">
        <v>4120.82</v>
      </c>
      <c r="G112" s="37" t="n">
        <f aca="false">E112*F112</f>
        <v>2320021.66</v>
      </c>
      <c r="H112" s="38" t="n">
        <f aca="false">IFERROR(xlookup(D112,'Lookup Reference'!$A$4:$A$6,'Lookup Reference'!$C$4:$C$6),INDEX('Lookup Reference'!$C$4:$C$6,MATCH(D112,'Lookup Reference'!$A$4:$A$6,0)))</f>
        <v>0.46</v>
      </c>
      <c r="I112" s="37" t="n">
        <f aca="false">G112*H112</f>
        <v>1067209.9636</v>
      </c>
      <c r="J112" s="37" t="n">
        <f aca="false">G112-I112</f>
        <v>1252811.6964</v>
      </c>
    </row>
    <row r="113" customFormat="false" ht="15" hidden="false" customHeight="true" outlineLevel="0" collapsed="false">
      <c r="A113" s="39" t="n">
        <v>45566</v>
      </c>
      <c r="B113" s="24" t="s">
        <v>81</v>
      </c>
      <c r="C113" s="24" t="s">
        <v>69</v>
      </c>
      <c r="D113" s="24" t="s">
        <v>44</v>
      </c>
      <c r="E113" s="40" t="n">
        <v>315</v>
      </c>
      <c r="F113" s="25" t="n">
        <v>6452.93</v>
      </c>
      <c r="G113" s="41" t="n">
        <f aca="false">E113*F113</f>
        <v>2032672.95</v>
      </c>
      <c r="H113" s="42" t="n">
        <f aca="false">IFERROR(xlookup(D113,'Lookup Reference'!$A$4:$A$6,'Lookup Reference'!$C$4:$C$6),INDEX('Lookup Reference'!$C$4:$C$6,MATCH(D113,'Lookup Reference'!$A$4:$A$6,0)))</f>
        <v>0.52</v>
      </c>
      <c r="I113" s="41" t="n">
        <f aca="false">G113*H113</f>
        <v>1056989.934</v>
      </c>
      <c r="J113" s="41" t="n">
        <f aca="false">G113-I113</f>
        <v>975683.016</v>
      </c>
    </row>
    <row r="114" customFormat="false" ht="15" hidden="false" customHeight="true" outlineLevel="0" collapsed="false">
      <c r="A114" s="35" t="n">
        <v>45566</v>
      </c>
      <c r="B114" s="8" t="s">
        <v>81</v>
      </c>
      <c r="C114" s="8" t="s">
        <v>69</v>
      </c>
      <c r="D114" s="8" t="s">
        <v>45</v>
      </c>
      <c r="E114" s="36" t="n">
        <v>500</v>
      </c>
      <c r="F114" s="21" t="n">
        <v>2329.24</v>
      </c>
      <c r="G114" s="37" t="n">
        <f aca="false">E114*F114</f>
        <v>1164620</v>
      </c>
      <c r="H114" s="38" t="n">
        <f aca="false">IFERROR(xlookup(D114,'Lookup Reference'!$A$4:$A$6,'Lookup Reference'!$C$4:$C$6),INDEX('Lookup Reference'!$C$4:$C$6,MATCH(D114,'Lookup Reference'!$A$4:$A$6,0)))</f>
        <v>0.38</v>
      </c>
      <c r="I114" s="37" t="n">
        <f aca="false">G114*H114</f>
        <v>442555.6</v>
      </c>
      <c r="J114" s="37" t="n">
        <f aca="false">G114-I114</f>
        <v>722064.4</v>
      </c>
    </row>
    <row r="115" customFormat="false" ht="15" hidden="false" customHeight="true" outlineLevel="0" collapsed="false">
      <c r="A115" s="39" t="n">
        <v>45566</v>
      </c>
      <c r="B115" s="24" t="s">
        <v>81</v>
      </c>
      <c r="C115" s="24" t="s">
        <v>70</v>
      </c>
      <c r="D115" s="24" t="s">
        <v>43</v>
      </c>
      <c r="E115" s="40" t="n">
        <v>494</v>
      </c>
      <c r="F115" s="25" t="n">
        <v>4130.38</v>
      </c>
      <c r="G115" s="41" t="n">
        <f aca="false">E115*F115</f>
        <v>2040407.72</v>
      </c>
      <c r="H115" s="42" t="n">
        <f aca="false">IFERROR(xlookup(D115,'Lookup Reference'!$A$4:$A$6,'Lookup Reference'!$C$4:$C$6),INDEX('Lookup Reference'!$C$4:$C$6,MATCH(D115,'Lookup Reference'!$A$4:$A$6,0)))</f>
        <v>0.46</v>
      </c>
      <c r="I115" s="41" t="n">
        <f aca="false">G115*H115</f>
        <v>938587.5512</v>
      </c>
      <c r="J115" s="41" t="n">
        <f aca="false">G115-I115</f>
        <v>1101820.1688</v>
      </c>
    </row>
    <row r="116" customFormat="false" ht="15" hidden="false" customHeight="true" outlineLevel="0" collapsed="false">
      <c r="A116" s="35" t="n">
        <v>45566</v>
      </c>
      <c r="B116" s="8" t="s">
        <v>81</v>
      </c>
      <c r="C116" s="8" t="s">
        <v>70</v>
      </c>
      <c r="D116" s="8" t="s">
        <v>44</v>
      </c>
      <c r="E116" s="36" t="n">
        <v>270</v>
      </c>
      <c r="F116" s="21" t="n">
        <v>6602.87</v>
      </c>
      <c r="G116" s="37" t="n">
        <f aca="false">E116*F116</f>
        <v>1782774.9</v>
      </c>
      <c r="H116" s="38" t="n">
        <f aca="false">IFERROR(xlookup(D116,'Lookup Reference'!$A$4:$A$6,'Lookup Reference'!$C$4:$C$6),INDEX('Lookup Reference'!$C$4:$C$6,MATCH(D116,'Lookup Reference'!$A$4:$A$6,0)))</f>
        <v>0.52</v>
      </c>
      <c r="I116" s="37" t="n">
        <f aca="false">G116*H116</f>
        <v>927042.948</v>
      </c>
      <c r="J116" s="37" t="n">
        <f aca="false">G116-I116</f>
        <v>855731.952</v>
      </c>
    </row>
    <row r="117" customFormat="false" ht="15" hidden="false" customHeight="true" outlineLevel="0" collapsed="false">
      <c r="A117" s="39" t="n">
        <v>45566</v>
      </c>
      <c r="B117" s="24" t="s">
        <v>81</v>
      </c>
      <c r="C117" s="24" t="s">
        <v>70</v>
      </c>
      <c r="D117" s="24" t="s">
        <v>45</v>
      </c>
      <c r="E117" s="40" t="n">
        <v>396</v>
      </c>
      <c r="F117" s="25" t="n">
        <v>2379.86</v>
      </c>
      <c r="G117" s="41" t="n">
        <f aca="false">E117*F117</f>
        <v>942424.56</v>
      </c>
      <c r="H117" s="42" t="n">
        <f aca="false">IFERROR(xlookup(D117,'Lookup Reference'!$A$4:$A$6,'Lookup Reference'!$C$4:$C$6),INDEX('Lookup Reference'!$C$4:$C$6,MATCH(D117,'Lookup Reference'!$A$4:$A$6,0)))</f>
        <v>0.38</v>
      </c>
      <c r="I117" s="41" t="n">
        <f aca="false">G117*H117</f>
        <v>358121.3328</v>
      </c>
      <c r="J117" s="41" t="n">
        <f aca="false">G117-I117</f>
        <v>584303.2272</v>
      </c>
    </row>
    <row r="118" customFormat="false" ht="15" hidden="false" customHeight="true" outlineLevel="0" collapsed="false">
      <c r="A118" s="35" t="n">
        <v>45566</v>
      </c>
      <c r="B118" s="8" t="s">
        <v>81</v>
      </c>
      <c r="C118" s="8" t="s">
        <v>71</v>
      </c>
      <c r="D118" s="8" t="s">
        <v>43</v>
      </c>
      <c r="E118" s="36" t="n">
        <v>543</v>
      </c>
      <c r="F118" s="21" t="n">
        <v>4199.14</v>
      </c>
      <c r="G118" s="37" t="n">
        <f aca="false">E118*F118</f>
        <v>2280133.02</v>
      </c>
      <c r="H118" s="38" t="n">
        <f aca="false">IFERROR(xlookup(D118,'Lookup Reference'!$A$4:$A$6,'Lookup Reference'!$C$4:$C$6),INDEX('Lookup Reference'!$C$4:$C$6,MATCH(D118,'Lookup Reference'!$A$4:$A$6,0)))</f>
        <v>0.46</v>
      </c>
      <c r="I118" s="37" t="n">
        <f aca="false">G118*H118</f>
        <v>1048861.1892</v>
      </c>
      <c r="J118" s="37" t="n">
        <f aca="false">G118-I118</f>
        <v>1231271.8308</v>
      </c>
    </row>
    <row r="119" customFormat="false" ht="15" hidden="false" customHeight="true" outlineLevel="0" collapsed="false">
      <c r="A119" s="39" t="n">
        <v>45566</v>
      </c>
      <c r="B119" s="24" t="s">
        <v>81</v>
      </c>
      <c r="C119" s="24" t="s">
        <v>71</v>
      </c>
      <c r="D119" s="24" t="s">
        <v>44</v>
      </c>
      <c r="E119" s="40" t="n">
        <v>329</v>
      </c>
      <c r="F119" s="25" t="n">
        <v>6395.64</v>
      </c>
      <c r="G119" s="41" t="n">
        <f aca="false">E119*F119</f>
        <v>2104165.56</v>
      </c>
      <c r="H119" s="42" t="n">
        <f aca="false">IFERROR(xlookup(D119,'Lookup Reference'!$A$4:$A$6,'Lookup Reference'!$C$4:$C$6),INDEX('Lookup Reference'!$C$4:$C$6,MATCH(D119,'Lookup Reference'!$A$4:$A$6,0)))</f>
        <v>0.52</v>
      </c>
      <c r="I119" s="41" t="n">
        <f aca="false">G119*H119</f>
        <v>1094166.0912</v>
      </c>
      <c r="J119" s="41" t="n">
        <f aca="false">G119-I119</f>
        <v>1009999.4688</v>
      </c>
    </row>
    <row r="120" customFormat="false" ht="15" hidden="false" customHeight="true" outlineLevel="0" collapsed="false">
      <c r="A120" s="35" t="n">
        <v>45566</v>
      </c>
      <c r="B120" s="8" t="s">
        <v>81</v>
      </c>
      <c r="C120" s="8" t="s">
        <v>71</v>
      </c>
      <c r="D120" s="8" t="s">
        <v>45</v>
      </c>
      <c r="E120" s="36" t="n">
        <v>490</v>
      </c>
      <c r="F120" s="21" t="n">
        <v>2347.39</v>
      </c>
      <c r="G120" s="37" t="n">
        <f aca="false">E120*F120</f>
        <v>1150221.1</v>
      </c>
      <c r="H120" s="38" t="n">
        <f aca="false">IFERROR(xlookup(D120,'Lookup Reference'!$A$4:$A$6,'Lookup Reference'!$C$4:$C$6),INDEX('Lookup Reference'!$C$4:$C$6,MATCH(D120,'Lookup Reference'!$A$4:$A$6,0)))</f>
        <v>0.38</v>
      </c>
      <c r="I120" s="37" t="n">
        <f aca="false">G120*H120</f>
        <v>437084.018</v>
      </c>
      <c r="J120" s="37" t="n">
        <f aca="false">G120-I120</f>
        <v>713137.082</v>
      </c>
    </row>
    <row r="121" customFormat="false" ht="15" hidden="false" customHeight="true" outlineLevel="0" collapsed="false">
      <c r="A121" s="39" t="n">
        <v>45566</v>
      </c>
      <c r="B121" s="24" t="s">
        <v>81</v>
      </c>
      <c r="C121" s="24" t="s">
        <v>72</v>
      </c>
      <c r="D121" s="24" t="s">
        <v>43</v>
      </c>
      <c r="E121" s="40" t="n">
        <v>482</v>
      </c>
      <c r="F121" s="25" t="n">
        <v>3928.87</v>
      </c>
      <c r="G121" s="41" t="n">
        <f aca="false">E121*F121</f>
        <v>1893715.34</v>
      </c>
      <c r="H121" s="42" t="n">
        <f aca="false">IFERROR(xlookup(D121,'Lookup Reference'!$A$4:$A$6,'Lookup Reference'!$C$4:$C$6),INDEX('Lookup Reference'!$C$4:$C$6,MATCH(D121,'Lookup Reference'!$A$4:$A$6,0)))</f>
        <v>0.46</v>
      </c>
      <c r="I121" s="41" t="n">
        <f aca="false">G121*H121</f>
        <v>871109.0564</v>
      </c>
      <c r="J121" s="41" t="n">
        <f aca="false">G121-I121</f>
        <v>1022606.2836</v>
      </c>
    </row>
    <row r="122" customFormat="false" ht="15" hidden="false" customHeight="true" outlineLevel="0" collapsed="false">
      <c r="A122" s="35" t="n">
        <v>45566</v>
      </c>
      <c r="B122" s="8" t="s">
        <v>81</v>
      </c>
      <c r="C122" s="8" t="s">
        <v>72</v>
      </c>
      <c r="D122" s="8" t="s">
        <v>44</v>
      </c>
      <c r="E122" s="36" t="n">
        <v>348</v>
      </c>
      <c r="F122" s="21" t="n">
        <v>6427.15</v>
      </c>
      <c r="G122" s="37" t="n">
        <f aca="false">E122*F122</f>
        <v>2236648.2</v>
      </c>
      <c r="H122" s="38" t="n">
        <f aca="false">IFERROR(xlookup(D122,'Lookup Reference'!$A$4:$A$6,'Lookup Reference'!$C$4:$C$6),INDEX('Lookup Reference'!$C$4:$C$6,MATCH(D122,'Lookup Reference'!$A$4:$A$6,0)))</f>
        <v>0.52</v>
      </c>
      <c r="I122" s="37" t="n">
        <f aca="false">G122*H122</f>
        <v>1163057.064</v>
      </c>
      <c r="J122" s="37" t="n">
        <f aca="false">G122-I122</f>
        <v>1073591.136</v>
      </c>
    </row>
    <row r="123" customFormat="false" ht="15" hidden="false" customHeight="true" outlineLevel="0" collapsed="false">
      <c r="A123" s="39" t="n">
        <v>45566</v>
      </c>
      <c r="B123" s="24" t="s">
        <v>81</v>
      </c>
      <c r="C123" s="24" t="s">
        <v>72</v>
      </c>
      <c r="D123" s="24" t="s">
        <v>45</v>
      </c>
      <c r="E123" s="40" t="n">
        <v>426</v>
      </c>
      <c r="F123" s="25" t="n">
        <v>2336.88</v>
      </c>
      <c r="G123" s="41" t="n">
        <f aca="false">E123*F123</f>
        <v>995510.88</v>
      </c>
      <c r="H123" s="42" t="n">
        <f aca="false">IFERROR(xlookup(D123,'Lookup Reference'!$A$4:$A$6,'Lookup Reference'!$C$4:$C$6),INDEX('Lookup Reference'!$C$4:$C$6,MATCH(D123,'Lookup Reference'!$A$4:$A$6,0)))</f>
        <v>0.38</v>
      </c>
      <c r="I123" s="41" t="n">
        <f aca="false">G123*H123</f>
        <v>378294.1344</v>
      </c>
      <c r="J123" s="41" t="n">
        <f aca="false">G123-I123</f>
        <v>617216.7456</v>
      </c>
    </row>
    <row r="124" customFormat="false" ht="15" hidden="false" customHeight="true" outlineLevel="0" collapsed="false">
      <c r="A124" s="35" t="n">
        <v>45597</v>
      </c>
      <c r="B124" s="8" t="s">
        <v>82</v>
      </c>
      <c r="C124" s="8" t="s">
        <v>69</v>
      </c>
      <c r="D124" s="8" t="s">
        <v>43</v>
      </c>
      <c r="E124" s="36" t="n">
        <v>652</v>
      </c>
      <c r="F124" s="21" t="n">
        <v>4077.85</v>
      </c>
      <c r="G124" s="37" t="n">
        <f aca="false">E124*F124</f>
        <v>2658758.2</v>
      </c>
      <c r="H124" s="38" t="n">
        <f aca="false">IFERROR(xlookup(D124,'Lookup Reference'!$A$4:$A$6,'Lookup Reference'!$C$4:$C$6),INDEX('Lookup Reference'!$C$4:$C$6,MATCH(D124,'Lookup Reference'!$A$4:$A$6,0)))</f>
        <v>0.46</v>
      </c>
      <c r="I124" s="37" t="n">
        <f aca="false">G124*H124</f>
        <v>1223028.772</v>
      </c>
      <c r="J124" s="37" t="n">
        <f aca="false">G124-I124</f>
        <v>1435729.428</v>
      </c>
    </row>
    <row r="125" customFormat="false" ht="15" hidden="false" customHeight="true" outlineLevel="0" collapsed="false">
      <c r="A125" s="39" t="n">
        <v>45597</v>
      </c>
      <c r="B125" s="24" t="s">
        <v>82</v>
      </c>
      <c r="C125" s="24" t="s">
        <v>69</v>
      </c>
      <c r="D125" s="24" t="s">
        <v>44</v>
      </c>
      <c r="E125" s="40" t="n">
        <v>414</v>
      </c>
      <c r="F125" s="25" t="n">
        <v>6784.32</v>
      </c>
      <c r="G125" s="41" t="n">
        <f aca="false">E125*F125</f>
        <v>2808708.48</v>
      </c>
      <c r="H125" s="42" t="n">
        <f aca="false">IFERROR(xlookup(D125,'Lookup Reference'!$A$4:$A$6,'Lookup Reference'!$C$4:$C$6),INDEX('Lookup Reference'!$C$4:$C$6,MATCH(D125,'Lookup Reference'!$A$4:$A$6,0)))</f>
        <v>0.52</v>
      </c>
      <c r="I125" s="41" t="n">
        <f aca="false">G125*H125</f>
        <v>1460528.4096</v>
      </c>
      <c r="J125" s="41" t="n">
        <f aca="false">G125-I125</f>
        <v>1348180.0704</v>
      </c>
    </row>
    <row r="126" customFormat="false" ht="15" hidden="false" customHeight="true" outlineLevel="0" collapsed="false">
      <c r="A126" s="35" t="n">
        <v>45597</v>
      </c>
      <c r="B126" s="8" t="s">
        <v>82</v>
      </c>
      <c r="C126" s="8" t="s">
        <v>69</v>
      </c>
      <c r="D126" s="8" t="s">
        <v>45</v>
      </c>
      <c r="E126" s="36" t="n">
        <v>500</v>
      </c>
      <c r="F126" s="21" t="n">
        <v>2355.03</v>
      </c>
      <c r="G126" s="37" t="n">
        <f aca="false">E126*F126</f>
        <v>1177515</v>
      </c>
      <c r="H126" s="38" t="n">
        <f aca="false">IFERROR(xlookup(D126,'Lookup Reference'!$A$4:$A$6,'Lookup Reference'!$C$4:$C$6),INDEX('Lookup Reference'!$C$4:$C$6,MATCH(D126,'Lookup Reference'!$A$4:$A$6,0)))</f>
        <v>0.38</v>
      </c>
      <c r="I126" s="37" t="n">
        <f aca="false">G126*H126</f>
        <v>447455.7</v>
      </c>
      <c r="J126" s="37" t="n">
        <f aca="false">G126-I126</f>
        <v>730059.3</v>
      </c>
    </row>
    <row r="127" customFormat="false" ht="15" hidden="false" customHeight="true" outlineLevel="0" collapsed="false">
      <c r="A127" s="39" t="n">
        <v>45597</v>
      </c>
      <c r="B127" s="24" t="s">
        <v>82</v>
      </c>
      <c r="C127" s="24" t="s">
        <v>70</v>
      </c>
      <c r="D127" s="24" t="s">
        <v>43</v>
      </c>
      <c r="E127" s="40" t="n">
        <v>548</v>
      </c>
      <c r="F127" s="25" t="n">
        <v>4017.68</v>
      </c>
      <c r="G127" s="41" t="n">
        <f aca="false">E127*F127</f>
        <v>2201688.64</v>
      </c>
      <c r="H127" s="42" t="n">
        <f aca="false">IFERROR(xlookup(D127,'Lookup Reference'!$A$4:$A$6,'Lookup Reference'!$C$4:$C$6),INDEX('Lookup Reference'!$C$4:$C$6,MATCH(D127,'Lookup Reference'!$A$4:$A$6,0)))</f>
        <v>0.46</v>
      </c>
      <c r="I127" s="41" t="n">
        <f aca="false">G127*H127</f>
        <v>1012776.7744</v>
      </c>
      <c r="J127" s="41" t="n">
        <f aca="false">G127-I127</f>
        <v>1188911.8656</v>
      </c>
    </row>
    <row r="128" customFormat="false" ht="15" hidden="false" customHeight="true" outlineLevel="0" collapsed="false">
      <c r="A128" s="35" t="n">
        <v>45597</v>
      </c>
      <c r="B128" s="8" t="s">
        <v>82</v>
      </c>
      <c r="C128" s="8" t="s">
        <v>70</v>
      </c>
      <c r="D128" s="8" t="s">
        <v>44</v>
      </c>
      <c r="E128" s="36" t="n">
        <v>377</v>
      </c>
      <c r="F128" s="21" t="n">
        <v>6454.85</v>
      </c>
      <c r="G128" s="37" t="n">
        <f aca="false">E128*F128</f>
        <v>2433478.45</v>
      </c>
      <c r="H128" s="38" t="n">
        <f aca="false">IFERROR(xlookup(D128,'Lookup Reference'!$A$4:$A$6,'Lookup Reference'!$C$4:$C$6),INDEX('Lookup Reference'!$C$4:$C$6,MATCH(D128,'Lookup Reference'!$A$4:$A$6,0)))</f>
        <v>0.52</v>
      </c>
      <c r="I128" s="37" t="n">
        <f aca="false">G128*H128</f>
        <v>1265408.794</v>
      </c>
      <c r="J128" s="37" t="n">
        <f aca="false">G128-I128</f>
        <v>1168069.656</v>
      </c>
    </row>
    <row r="129" customFormat="false" ht="15" hidden="false" customHeight="true" outlineLevel="0" collapsed="false">
      <c r="A129" s="39" t="n">
        <v>45597</v>
      </c>
      <c r="B129" s="24" t="s">
        <v>82</v>
      </c>
      <c r="C129" s="24" t="s">
        <v>70</v>
      </c>
      <c r="D129" s="24" t="s">
        <v>45</v>
      </c>
      <c r="E129" s="40" t="n">
        <v>452</v>
      </c>
      <c r="F129" s="25" t="n">
        <v>2360.76</v>
      </c>
      <c r="G129" s="41" t="n">
        <f aca="false">E129*F129</f>
        <v>1067063.52</v>
      </c>
      <c r="H129" s="42" t="n">
        <f aca="false">IFERROR(xlookup(D129,'Lookup Reference'!$A$4:$A$6,'Lookup Reference'!$C$4:$C$6),INDEX('Lookup Reference'!$C$4:$C$6,MATCH(D129,'Lookup Reference'!$A$4:$A$6,0)))</f>
        <v>0.38</v>
      </c>
      <c r="I129" s="41" t="n">
        <f aca="false">G129*H129</f>
        <v>405484.1376</v>
      </c>
      <c r="J129" s="41" t="n">
        <f aca="false">G129-I129</f>
        <v>661579.3824</v>
      </c>
    </row>
    <row r="130" customFormat="false" ht="15" hidden="false" customHeight="true" outlineLevel="0" collapsed="false">
      <c r="A130" s="35" t="n">
        <v>45597</v>
      </c>
      <c r="B130" s="8" t="s">
        <v>82</v>
      </c>
      <c r="C130" s="8" t="s">
        <v>71</v>
      </c>
      <c r="D130" s="8" t="s">
        <v>43</v>
      </c>
      <c r="E130" s="36" t="n">
        <v>635</v>
      </c>
      <c r="F130" s="21" t="n">
        <v>4037.74</v>
      </c>
      <c r="G130" s="37" t="n">
        <f aca="false">E130*F130</f>
        <v>2563964.9</v>
      </c>
      <c r="H130" s="38" t="n">
        <f aca="false">IFERROR(xlookup(D130,'Lookup Reference'!$A$4:$A$6,'Lookup Reference'!$C$4:$C$6),INDEX('Lookup Reference'!$C$4:$C$6,MATCH(D130,'Lookup Reference'!$A$4:$A$6,0)))</f>
        <v>0.46</v>
      </c>
      <c r="I130" s="37" t="n">
        <f aca="false">G130*H130</f>
        <v>1179423.854</v>
      </c>
      <c r="J130" s="37" t="n">
        <f aca="false">G130-I130</f>
        <v>1384541.046</v>
      </c>
    </row>
    <row r="131" customFormat="false" ht="15" hidden="false" customHeight="true" outlineLevel="0" collapsed="false">
      <c r="A131" s="39" t="n">
        <v>45597</v>
      </c>
      <c r="B131" s="24" t="s">
        <v>82</v>
      </c>
      <c r="C131" s="24" t="s">
        <v>71</v>
      </c>
      <c r="D131" s="24" t="s">
        <v>44</v>
      </c>
      <c r="E131" s="40" t="n">
        <v>490</v>
      </c>
      <c r="F131" s="25" t="n">
        <v>6816.79</v>
      </c>
      <c r="G131" s="41" t="n">
        <f aca="false">E131*F131</f>
        <v>3340227.1</v>
      </c>
      <c r="H131" s="42" t="n">
        <f aca="false">IFERROR(xlookup(D131,'Lookup Reference'!$A$4:$A$6,'Lookup Reference'!$C$4:$C$6),INDEX('Lookup Reference'!$C$4:$C$6,MATCH(D131,'Lookup Reference'!$A$4:$A$6,0)))</f>
        <v>0.52</v>
      </c>
      <c r="I131" s="41" t="n">
        <f aca="false">G131*H131</f>
        <v>1736918.092</v>
      </c>
      <c r="J131" s="41" t="n">
        <f aca="false">G131-I131</f>
        <v>1603309.008</v>
      </c>
    </row>
    <row r="132" customFormat="false" ht="15" hidden="false" customHeight="true" outlineLevel="0" collapsed="false">
      <c r="A132" s="35" t="n">
        <v>45597</v>
      </c>
      <c r="B132" s="8" t="s">
        <v>82</v>
      </c>
      <c r="C132" s="8" t="s">
        <v>71</v>
      </c>
      <c r="D132" s="8" t="s">
        <v>45</v>
      </c>
      <c r="E132" s="36" t="n">
        <v>514</v>
      </c>
      <c r="F132" s="21" t="n">
        <v>2262.39</v>
      </c>
      <c r="G132" s="37" t="n">
        <f aca="false">E132*F132</f>
        <v>1162868.46</v>
      </c>
      <c r="H132" s="38" t="n">
        <f aca="false">IFERROR(xlookup(D132,'Lookup Reference'!$A$4:$A$6,'Lookup Reference'!$C$4:$C$6),INDEX('Lookup Reference'!$C$4:$C$6,MATCH(D132,'Lookup Reference'!$A$4:$A$6,0)))</f>
        <v>0.38</v>
      </c>
      <c r="I132" s="37" t="n">
        <f aca="false">G132*H132</f>
        <v>441890.0148</v>
      </c>
      <c r="J132" s="37" t="n">
        <f aca="false">G132-I132</f>
        <v>720978.4452</v>
      </c>
    </row>
    <row r="133" customFormat="false" ht="15" hidden="false" customHeight="true" outlineLevel="0" collapsed="false">
      <c r="A133" s="39" t="n">
        <v>45597</v>
      </c>
      <c r="B133" s="24" t="s">
        <v>82</v>
      </c>
      <c r="C133" s="24" t="s">
        <v>72</v>
      </c>
      <c r="D133" s="24" t="s">
        <v>43</v>
      </c>
      <c r="E133" s="40" t="n">
        <v>581</v>
      </c>
      <c r="F133" s="25" t="n">
        <v>4190.54</v>
      </c>
      <c r="G133" s="41" t="n">
        <f aca="false">E133*F133</f>
        <v>2434703.74</v>
      </c>
      <c r="H133" s="42" t="n">
        <f aca="false">IFERROR(xlookup(D133,'Lookup Reference'!$A$4:$A$6,'Lookup Reference'!$C$4:$C$6),INDEX('Lookup Reference'!$C$4:$C$6,MATCH(D133,'Lookup Reference'!$A$4:$A$6,0)))</f>
        <v>0.46</v>
      </c>
      <c r="I133" s="41" t="n">
        <f aca="false">G133*H133</f>
        <v>1119963.7204</v>
      </c>
      <c r="J133" s="41" t="n">
        <f aca="false">G133-I133</f>
        <v>1314740.0196</v>
      </c>
    </row>
    <row r="134" customFormat="false" ht="15" hidden="false" customHeight="true" outlineLevel="0" collapsed="false">
      <c r="A134" s="35" t="n">
        <v>45597</v>
      </c>
      <c r="B134" s="8" t="s">
        <v>82</v>
      </c>
      <c r="C134" s="8" t="s">
        <v>72</v>
      </c>
      <c r="D134" s="8" t="s">
        <v>44</v>
      </c>
      <c r="E134" s="36" t="n">
        <v>416</v>
      </c>
      <c r="F134" s="21" t="n">
        <v>6755.67</v>
      </c>
      <c r="G134" s="37" t="n">
        <f aca="false">E134*F134</f>
        <v>2810358.72</v>
      </c>
      <c r="H134" s="38" t="n">
        <f aca="false">IFERROR(xlookup(D134,'Lookup Reference'!$A$4:$A$6,'Lookup Reference'!$C$4:$C$6),INDEX('Lookup Reference'!$C$4:$C$6,MATCH(D134,'Lookup Reference'!$A$4:$A$6,0)))</f>
        <v>0.52</v>
      </c>
      <c r="I134" s="37" t="n">
        <f aca="false">G134*H134</f>
        <v>1461386.5344</v>
      </c>
      <c r="J134" s="37" t="n">
        <f aca="false">G134-I134</f>
        <v>1348972.1856</v>
      </c>
    </row>
    <row r="135" customFormat="false" ht="15" hidden="false" customHeight="true" outlineLevel="0" collapsed="false">
      <c r="A135" s="39" t="n">
        <v>45597</v>
      </c>
      <c r="B135" s="24" t="s">
        <v>82</v>
      </c>
      <c r="C135" s="24" t="s">
        <v>72</v>
      </c>
      <c r="D135" s="24" t="s">
        <v>45</v>
      </c>
      <c r="E135" s="40" t="n">
        <v>482</v>
      </c>
      <c r="F135" s="25" t="n">
        <v>2251.89</v>
      </c>
      <c r="G135" s="41" t="n">
        <f aca="false">E135*F135</f>
        <v>1085410.98</v>
      </c>
      <c r="H135" s="42" t="n">
        <f aca="false">IFERROR(xlookup(D135,'Lookup Reference'!$A$4:$A$6,'Lookup Reference'!$C$4:$C$6),INDEX('Lookup Reference'!$C$4:$C$6,MATCH(D135,'Lookup Reference'!$A$4:$A$6,0)))</f>
        <v>0.38</v>
      </c>
      <c r="I135" s="41" t="n">
        <f aca="false">G135*H135</f>
        <v>412456.1724</v>
      </c>
      <c r="J135" s="41" t="n">
        <f aca="false">G135-I135</f>
        <v>672954.8076</v>
      </c>
    </row>
    <row r="136" customFormat="false" ht="15" hidden="false" customHeight="true" outlineLevel="0" collapsed="false">
      <c r="A136" s="35" t="n">
        <v>45627</v>
      </c>
      <c r="B136" s="8" t="s">
        <v>83</v>
      </c>
      <c r="C136" s="8" t="s">
        <v>69</v>
      </c>
      <c r="D136" s="8" t="s">
        <v>43</v>
      </c>
      <c r="E136" s="36" t="n">
        <v>810</v>
      </c>
      <c r="F136" s="21" t="n">
        <v>4116.05</v>
      </c>
      <c r="G136" s="37" t="n">
        <f aca="false">E136*F136</f>
        <v>3334000.5</v>
      </c>
      <c r="H136" s="38" t="n">
        <f aca="false">IFERROR(xlookup(D136,'Lookup Reference'!$A$4:$A$6,'Lookup Reference'!$C$4:$C$6),INDEX('Lookup Reference'!$C$4:$C$6,MATCH(D136,'Lookup Reference'!$A$4:$A$6,0)))</f>
        <v>0.46</v>
      </c>
      <c r="I136" s="37" t="n">
        <f aca="false">G136*H136</f>
        <v>1533640.23</v>
      </c>
      <c r="J136" s="37" t="n">
        <f aca="false">G136-I136</f>
        <v>1800360.27</v>
      </c>
    </row>
    <row r="137" customFormat="false" ht="15" hidden="false" customHeight="true" outlineLevel="0" collapsed="false">
      <c r="A137" s="39" t="n">
        <v>45627</v>
      </c>
      <c r="B137" s="24" t="s">
        <v>83</v>
      </c>
      <c r="C137" s="24" t="s">
        <v>69</v>
      </c>
      <c r="D137" s="24" t="s">
        <v>44</v>
      </c>
      <c r="E137" s="40" t="n">
        <v>477</v>
      </c>
      <c r="F137" s="25" t="n">
        <v>6812.01</v>
      </c>
      <c r="G137" s="41" t="n">
        <f aca="false">E137*F137</f>
        <v>3249328.77</v>
      </c>
      <c r="H137" s="42" t="n">
        <f aca="false">IFERROR(xlookup(D137,'Lookup Reference'!$A$4:$A$6,'Lookup Reference'!$C$4:$C$6),INDEX('Lookup Reference'!$C$4:$C$6,MATCH(D137,'Lookup Reference'!$A$4:$A$6,0)))</f>
        <v>0.52</v>
      </c>
      <c r="I137" s="41" t="n">
        <f aca="false">G137*H137</f>
        <v>1689650.9604</v>
      </c>
      <c r="J137" s="41" t="n">
        <f aca="false">G137-I137</f>
        <v>1559677.8096</v>
      </c>
    </row>
    <row r="138" customFormat="false" ht="15" hidden="false" customHeight="true" outlineLevel="0" collapsed="false">
      <c r="A138" s="35" t="n">
        <v>45627</v>
      </c>
      <c r="B138" s="8" t="s">
        <v>83</v>
      </c>
      <c r="C138" s="8" t="s">
        <v>69</v>
      </c>
      <c r="D138" s="8" t="s">
        <v>45</v>
      </c>
      <c r="E138" s="36" t="n">
        <v>630</v>
      </c>
      <c r="F138" s="21" t="n">
        <v>2225.15</v>
      </c>
      <c r="G138" s="37" t="n">
        <f aca="false">E138*F138</f>
        <v>1401844.5</v>
      </c>
      <c r="H138" s="38" t="n">
        <f aca="false">IFERROR(xlookup(D138,'Lookup Reference'!$A$4:$A$6,'Lookup Reference'!$C$4:$C$6),INDEX('Lookup Reference'!$C$4:$C$6,MATCH(D138,'Lookup Reference'!$A$4:$A$6,0)))</f>
        <v>0.38</v>
      </c>
      <c r="I138" s="37" t="n">
        <f aca="false">G138*H138</f>
        <v>532700.91</v>
      </c>
      <c r="J138" s="37" t="n">
        <f aca="false">G138-I138</f>
        <v>869143.59</v>
      </c>
    </row>
    <row r="139" customFormat="false" ht="15" hidden="false" customHeight="true" outlineLevel="0" collapsed="false">
      <c r="A139" s="39" t="n">
        <v>45627</v>
      </c>
      <c r="B139" s="24" t="s">
        <v>83</v>
      </c>
      <c r="C139" s="24" t="s">
        <v>70</v>
      </c>
      <c r="D139" s="24" t="s">
        <v>43</v>
      </c>
      <c r="E139" s="40" t="n">
        <v>710</v>
      </c>
      <c r="F139" s="25" t="n">
        <v>3987.12</v>
      </c>
      <c r="G139" s="41" t="n">
        <f aca="false">E139*F139</f>
        <v>2830855.2</v>
      </c>
      <c r="H139" s="42" t="n">
        <f aca="false">IFERROR(xlookup(D139,'Lookup Reference'!$A$4:$A$6,'Lookup Reference'!$C$4:$C$6),INDEX('Lookup Reference'!$C$4:$C$6,MATCH(D139,'Lookup Reference'!$A$4:$A$6,0)))</f>
        <v>0.46</v>
      </c>
      <c r="I139" s="41" t="n">
        <f aca="false">G139*H139</f>
        <v>1302193.392</v>
      </c>
      <c r="J139" s="41" t="n">
        <f aca="false">G139-I139</f>
        <v>1528661.808</v>
      </c>
    </row>
    <row r="140" customFormat="false" ht="15" hidden="false" customHeight="true" outlineLevel="0" collapsed="false">
      <c r="A140" s="35" t="n">
        <v>45627</v>
      </c>
      <c r="B140" s="8" t="s">
        <v>83</v>
      </c>
      <c r="C140" s="8" t="s">
        <v>70</v>
      </c>
      <c r="D140" s="8" t="s">
        <v>44</v>
      </c>
      <c r="E140" s="36" t="n">
        <v>424</v>
      </c>
      <c r="F140" s="21" t="n">
        <v>6787.18</v>
      </c>
      <c r="G140" s="37" t="n">
        <f aca="false">E140*F140</f>
        <v>2877764.32</v>
      </c>
      <c r="H140" s="38" t="n">
        <f aca="false">IFERROR(xlookup(D140,'Lookup Reference'!$A$4:$A$6,'Lookup Reference'!$C$4:$C$6),INDEX('Lookup Reference'!$C$4:$C$6,MATCH(D140,'Lookup Reference'!$A$4:$A$6,0)))</f>
        <v>0.52</v>
      </c>
      <c r="I140" s="37" t="n">
        <f aca="false">G140*H140</f>
        <v>1496437.4464</v>
      </c>
      <c r="J140" s="37" t="n">
        <f aca="false">G140-I140</f>
        <v>1381326.8736</v>
      </c>
    </row>
    <row r="141" customFormat="false" ht="15" hidden="false" customHeight="true" outlineLevel="0" collapsed="false">
      <c r="A141" s="39" t="n">
        <v>45627</v>
      </c>
      <c r="B141" s="24" t="s">
        <v>83</v>
      </c>
      <c r="C141" s="24" t="s">
        <v>70</v>
      </c>
      <c r="D141" s="24" t="s">
        <v>45</v>
      </c>
      <c r="E141" s="40" t="n">
        <v>487</v>
      </c>
      <c r="F141" s="25" t="n">
        <v>2244.25</v>
      </c>
      <c r="G141" s="41" t="n">
        <f aca="false">E141*F141</f>
        <v>1092949.75</v>
      </c>
      <c r="H141" s="42" t="n">
        <f aca="false">IFERROR(xlookup(D141,'Lookup Reference'!$A$4:$A$6,'Lookup Reference'!$C$4:$C$6),INDEX('Lookup Reference'!$C$4:$C$6,MATCH(D141,'Lookup Reference'!$A$4:$A$6,0)))</f>
        <v>0.38</v>
      </c>
      <c r="I141" s="41" t="n">
        <f aca="false">G141*H141</f>
        <v>415320.905</v>
      </c>
      <c r="J141" s="41" t="n">
        <f aca="false">G141-I141</f>
        <v>677628.845</v>
      </c>
    </row>
    <row r="142" customFormat="false" ht="15" hidden="false" customHeight="true" outlineLevel="0" collapsed="false">
      <c r="A142" s="35" t="n">
        <v>45627</v>
      </c>
      <c r="B142" s="8" t="s">
        <v>83</v>
      </c>
      <c r="C142" s="8" t="s">
        <v>71</v>
      </c>
      <c r="D142" s="8" t="s">
        <v>43</v>
      </c>
      <c r="E142" s="36" t="n">
        <v>723</v>
      </c>
      <c r="F142" s="21" t="n">
        <v>4068.3</v>
      </c>
      <c r="G142" s="37" t="n">
        <f aca="false">E142*F142</f>
        <v>2941380.9</v>
      </c>
      <c r="H142" s="38" t="n">
        <f aca="false">IFERROR(xlookup(D142,'Lookup Reference'!$A$4:$A$6,'Lookup Reference'!$C$4:$C$6),INDEX('Lookup Reference'!$C$4:$C$6,MATCH(D142,'Lookup Reference'!$A$4:$A$6,0)))</f>
        <v>0.46</v>
      </c>
      <c r="I142" s="37" t="n">
        <f aca="false">G142*H142</f>
        <v>1353035.214</v>
      </c>
      <c r="J142" s="37" t="n">
        <f aca="false">G142-I142</f>
        <v>1588345.686</v>
      </c>
    </row>
    <row r="143" customFormat="false" ht="15" hidden="false" customHeight="true" outlineLevel="0" collapsed="false">
      <c r="A143" s="39" t="n">
        <v>45627</v>
      </c>
      <c r="B143" s="24" t="s">
        <v>83</v>
      </c>
      <c r="C143" s="24" t="s">
        <v>71</v>
      </c>
      <c r="D143" s="24" t="s">
        <v>44</v>
      </c>
      <c r="E143" s="40" t="n">
        <v>467</v>
      </c>
      <c r="F143" s="25" t="n">
        <v>6613.38</v>
      </c>
      <c r="G143" s="41" t="n">
        <f aca="false">E143*F143</f>
        <v>3088448.46</v>
      </c>
      <c r="H143" s="42" t="n">
        <f aca="false">IFERROR(xlookup(D143,'Lookup Reference'!$A$4:$A$6,'Lookup Reference'!$C$4:$C$6),INDEX('Lookup Reference'!$C$4:$C$6,MATCH(D143,'Lookup Reference'!$A$4:$A$6,0)))</f>
        <v>0.52</v>
      </c>
      <c r="I143" s="41" t="n">
        <f aca="false">G143*H143</f>
        <v>1605993.1992</v>
      </c>
      <c r="J143" s="41" t="n">
        <f aca="false">G143-I143</f>
        <v>1482455.2608</v>
      </c>
    </row>
    <row r="144" customFormat="false" ht="15" hidden="false" customHeight="true" outlineLevel="0" collapsed="false">
      <c r="A144" s="35" t="n">
        <v>45627</v>
      </c>
      <c r="B144" s="8" t="s">
        <v>83</v>
      </c>
      <c r="C144" s="8" t="s">
        <v>71</v>
      </c>
      <c r="D144" s="8" t="s">
        <v>45</v>
      </c>
      <c r="E144" s="36" t="n">
        <v>680</v>
      </c>
      <c r="F144" s="21" t="n">
        <v>2260.49</v>
      </c>
      <c r="G144" s="37" t="n">
        <f aca="false">E144*F144</f>
        <v>1537133.2</v>
      </c>
      <c r="H144" s="38" t="n">
        <f aca="false">IFERROR(xlookup(D144,'Lookup Reference'!$A$4:$A$6,'Lookup Reference'!$C$4:$C$6),INDEX('Lookup Reference'!$C$4:$C$6,MATCH(D144,'Lookup Reference'!$A$4:$A$6,0)))</f>
        <v>0.38</v>
      </c>
      <c r="I144" s="37" t="n">
        <f aca="false">G144*H144</f>
        <v>584110.616</v>
      </c>
      <c r="J144" s="37" t="n">
        <f aca="false">G144-I144</f>
        <v>953022.584</v>
      </c>
    </row>
    <row r="145" customFormat="false" ht="15" hidden="false" customHeight="true" outlineLevel="0" collapsed="false">
      <c r="A145" s="39" t="n">
        <v>45627</v>
      </c>
      <c r="B145" s="24" t="s">
        <v>83</v>
      </c>
      <c r="C145" s="24" t="s">
        <v>72</v>
      </c>
      <c r="D145" s="24" t="s">
        <v>43</v>
      </c>
      <c r="E145" s="40" t="n">
        <v>717</v>
      </c>
      <c r="F145" s="25" t="n">
        <v>3975.67</v>
      </c>
      <c r="G145" s="41" t="n">
        <f aca="false">E145*F145</f>
        <v>2850555.39</v>
      </c>
      <c r="H145" s="42" t="n">
        <f aca="false">IFERROR(xlookup(D145,'Lookup Reference'!$A$4:$A$6,'Lookup Reference'!$C$4:$C$6),INDEX('Lookup Reference'!$C$4:$C$6,MATCH(D145,'Lookup Reference'!$A$4:$A$6,0)))</f>
        <v>0.46</v>
      </c>
      <c r="I145" s="41" t="n">
        <f aca="false">G145*H145</f>
        <v>1311255.4794</v>
      </c>
      <c r="J145" s="41" t="n">
        <f aca="false">G145-I145</f>
        <v>1539299.9106</v>
      </c>
    </row>
    <row r="146" customFormat="false" ht="15" hidden="false" customHeight="true" outlineLevel="0" collapsed="false">
      <c r="A146" s="35" t="n">
        <v>45627</v>
      </c>
      <c r="B146" s="8" t="s">
        <v>83</v>
      </c>
      <c r="C146" s="8" t="s">
        <v>72</v>
      </c>
      <c r="D146" s="8" t="s">
        <v>44</v>
      </c>
      <c r="E146" s="36" t="n">
        <v>429</v>
      </c>
      <c r="F146" s="21" t="n">
        <v>6769.99</v>
      </c>
      <c r="G146" s="37" t="n">
        <f aca="false">E146*F146</f>
        <v>2904325.71</v>
      </c>
      <c r="H146" s="38" t="n">
        <f aca="false">IFERROR(xlookup(D146,'Lookup Reference'!$A$4:$A$6,'Lookup Reference'!$C$4:$C$6),INDEX('Lookup Reference'!$C$4:$C$6,MATCH(D146,'Lookup Reference'!$A$4:$A$6,0)))</f>
        <v>0.52</v>
      </c>
      <c r="I146" s="37" t="n">
        <f aca="false">G146*H146</f>
        <v>1510249.3692</v>
      </c>
      <c r="J146" s="37" t="n">
        <f aca="false">G146-I146</f>
        <v>1394076.3408</v>
      </c>
    </row>
    <row r="147" customFormat="false" ht="15" hidden="false" customHeight="true" outlineLevel="0" collapsed="false">
      <c r="A147" s="39" t="n">
        <v>45627</v>
      </c>
      <c r="B147" s="24" t="s">
        <v>83</v>
      </c>
      <c r="C147" s="24" t="s">
        <v>72</v>
      </c>
      <c r="D147" s="24" t="s">
        <v>45</v>
      </c>
      <c r="E147" s="40" t="n">
        <v>609</v>
      </c>
      <c r="F147" s="25" t="n">
        <v>2240.43</v>
      </c>
      <c r="G147" s="41" t="n">
        <f aca="false">E147*F147</f>
        <v>1364421.87</v>
      </c>
      <c r="H147" s="42" t="n">
        <f aca="false">IFERROR(xlookup(D147,'Lookup Reference'!$A$4:$A$6,'Lookup Reference'!$C$4:$C$6),INDEX('Lookup Reference'!$C$4:$C$6,MATCH(D147,'Lookup Reference'!$A$4:$A$6,0)))</f>
        <v>0.38</v>
      </c>
      <c r="I147" s="41" t="n">
        <f aca="false">G147*H147</f>
        <v>518480.3106</v>
      </c>
      <c r="J147" s="41" t="n">
        <f aca="false">G147-I147</f>
        <v>845941.5594</v>
      </c>
    </row>
    <row r="148" customFormat="false" ht="15" hidden="false" customHeight="true" outlineLevel="0" collapsed="false">
      <c r="A148" s="35" t="n">
        <v>45658</v>
      </c>
      <c r="B148" s="8" t="s">
        <v>84</v>
      </c>
      <c r="C148" s="8" t="s">
        <v>69</v>
      </c>
      <c r="D148" s="8" t="s">
        <v>43</v>
      </c>
      <c r="E148" s="36" t="n">
        <v>437</v>
      </c>
      <c r="F148" s="21" t="n">
        <v>3979.49</v>
      </c>
      <c r="G148" s="37" t="n">
        <f aca="false">E148*F148</f>
        <v>1739037.13</v>
      </c>
      <c r="H148" s="38" t="n">
        <f aca="false">IFERROR(xlookup(D148,'Lookup Reference'!$A$4:$A$6,'Lookup Reference'!$C$4:$C$6),INDEX('Lookup Reference'!$C$4:$C$6,MATCH(D148,'Lookup Reference'!$A$4:$A$6,0)))</f>
        <v>0.46</v>
      </c>
      <c r="I148" s="37" t="n">
        <f aca="false">G148*H148</f>
        <v>799957.0798</v>
      </c>
      <c r="J148" s="37" t="n">
        <f aca="false">G148-I148</f>
        <v>939080.0502</v>
      </c>
    </row>
    <row r="149" customFormat="false" ht="15" hidden="false" customHeight="true" outlineLevel="0" collapsed="false">
      <c r="A149" s="39" t="n">
        <v>45658</v>
      </c>
      <c r="B149" s="24" t="s">
        <v>84</v>
      </c>
      <c r="C149" s="24" t="s">
        <v>69</v>
      </c>
      <c r="D149" s="24" t="s">
        <v>44</v>
      </c>
      <c r="E149" s="40" t="n">
        <v>243</v>
      </c>
      <c r="F149" s="25" t="n">
        <v>6699.33</v>
      </c>
      <c r="G149" s="41" t="n">
        <f aca="false">E149*F149</f>
        <v>1627937.19</v>
      </c>
      <c r="H149" s="42" t="n">
        <f aca="false">IFERROR(xlookup(D149,'Lookup Reference'!$A$4:$A$6,'Lookup Reference'!$C$4:$C$6),INDEX('Lookup Reference'!$C$4:$C$6,MATCH(D149,'Lookup Reference'!$A$4:$A$6,0)))</f>
        <v>0.52</v>
      </c>
      <c r="I149" s="41" t="n">
        <f aca="false">G149*H149</f>
        <v>846527.3388</v>
      </c>
      <c r="J149" s="41" t="n">
        <f aca="false">G149-I149</f>
        <v>781409.8512</v>
      </c>
    </row>
    <row r="150" customFormat="false" ht="15" hidden="false" customHeight="true" outlineLevel="0" collapsed="false">
      <c r="A150" s="35" t="n">
        <v>45658</v>
      </c>
      <c r="B150" s="8" t="s">
        <v>84</v>
      </c>
      <c r="C150" s="8" t="s">
        <v>69</v>
      </c>
      <c r="D150" s="8" t="s">
        <v>45</v>
      </c>
      <c r="E150" s="36" t="n">
        <v>372</v>
      </c>
      <c r="F150" s="21" t="n">
        <v>2270.99</v>
      </c>
      <c r="G150" s="37" t="n">
        <f aca="false">E150*F150</f>
        <v>844808.28</v>
      </c>
      <c r="H150" s="38" t="n">
        <f aca="false">IFERROR(xlookup(D150,'Lookup Reference'!$A$4:$A$6,'Lookup Reference'!$C$4:$C$6),INDEX('Lookup Reference'!$C$4:$C$6,MATCH(D150,'Lookup Reference'!$A$4:$A$6,0)))</f>
        <v>0.38</v>
      </c>
      <c r="I150" s="37" t="n">
        <f aca="false">G150*H150</f>
        <v>321027.1464</v>
      </c>
      <c r="J150" s="37" t="n">
        <f aca="false">G150-I150</f>
        <v>523781.1336</v>
      </c>
    </row>
    <row r="151" customFormat="false" ht="15" hidden="false" customHeight="true" outlineLevel="0" collapsed="false">
      <c r="A151" s="39" t="n">
        <v>45658</v>
      </c>
      <c r="B151" s="24" t="s">
        <v>84</v>
      </c>
      <c r="C151" s="24" t="s">
        <v>70</v>
      </c>
      <c r="D151" s="24" t="s">
        <v>43</v>
      </c>
      <c r="E151" s="40" t="n">
        <v>414</v>
      </c>
      <c r="F151" s="25" t="n">
        <v>4067.35</v>
      </c>
      <c r="G151" s="41" t="n">
        <f aca="false">E151*F151</f>
        <v>1683882.9</v>
      </c>
      <c r="H151" s="42" t="n">
        <f aca="false">IFERROR(xlookup(D151,'Lookup Reference'!$A$4:$A$6,'Lookup Reference'!$C$4:$C$6),INDEX('Lookup Reference'!$C$4:$C$6,MATCH(D151,'Lookup Reference'!$A$4:$A$6,0)))</f>
        <v>0.46</v>
      </c>
      <c r="I151" s="41" t="n">
        <f aca="false">G151*H151</f>
        <v>774586.134</v>
      </c>
      <c r="J151" s="41" t="n">
        <f aca="false">G151-I151</f>
        <v>909296.766</v>
      </c>
    </row>
    <row r="152" customFormat="false" ht="15" hidden="false" customHeight="true" outlineLevel="0" collapsed="false">
      <c r="A152" s="35" t="n">
        <v>45658</v>
      </c>
      <c r="B152" s="8" t="s">
        <v>84</v>
      </c>
      <c r="C152" s="8" t="s">
        <v>70</v>
      </c>
      <c r="D152" s="8" t="s">
        <v>44</v>
      </c>
      <c r="E152" s="36" t="n">
        <v>238</v>
      </c>
      <c r="F152" s="21" t="n">
        <v>6303.96</v>
      </c>
      <c r="G152" s="37" t="n">
        <f aca="false">E152*F152</f>
        <v>1500342.48</v>
      </c>
      <c r="H152" s="38" t="n">
        <f aca="false">IFERROR(xlookup(D152,'Lookup Reference'!$A$4:$A$6,'Lookup Reference'!$C$4:$C$6),INDEX('Lookup Reference'!$C$4:$C$6,MATCH(D152,'Lookup Reference'!$A$4:$A$6,0)))</f>
        <v>0.52</v>
      </c>
      <c r="I152" s="37" t="n">
        <f aca="false">G152*H152</f>
        <v>780178.0896</v>
      </c>
      <c r="J152" s="37" t="n">
        <f aca="false">G152-I152</f>
        <v>720164.3904</v>
      </c>
    </row>
    <row r="153" customFormat="false" ht="15" hidden="false" customHeight="true" outlineLevel="0" collapsed="false">
      <c r="A153" s="39" t="n">
        <v>45658</v>
      </c>
      <c r="B153" s="24" t="s">
        <v>84</v>
      </c>
      <c r="C153" s="24" t="s">
        <v>70</v>
      </c>
      <c r="D153" s="24" t="s">
        <v>45</v>
      </c>
      <c r="E153" s="40" t="n">
        <v>285</v>
      </c>
      <c r="F153" s="25" t="n">
        <v>2385.59</v>
      </c>
      <c r="G153" s="41" t="n">
        <f aca="false">E153*F153</f>
        <v>679893.15</v>
      </c>
      <c r="H153" s="42" t="n">
        <f aca="false">IFERROR(xlookup(D153,'Lookup Reference'!$A$4:$A$6,'Lookup Reference'!$C$4:$C$6),INDEX('Lookup Reference'!$C$4:$C$6,MATCH(D153,'Lookup Reference'!$A$4:$A$6,0)))</f>
        <v>0.38</v>
      </c>
      <c r="I153" s="41" t="n">
        <f aca="false">G153*H153</f>
        <v>258359.397</v>
      </c>
      <c r="J153" s="41" t="n">
        <f aca="false">G153-I153</f>
        <v>421533.753</v>
      </c>
    </row>
    <row r="154" customFormat="false" ht="15" hidden="false" customHeight="true" outlineLevel="0" collapsed="false">
      <c r="A154" s="35" t="n">
        <v>45658</v>
      </c>
      <c r="B154" s="8" t="s">
        <v>84</v>
      </c>
      <c r="C154" s="8" t="s">
        <v>71</v>
      </c>
      <c r="D154" s="8" t="s">
        <v>43</v>
      </c>
      <c r="E154" s="36" t="n">
        <v>520</v>
      </c>
      <c r="F154" s="21" t="n">
        <v>4065.43</v>
      </c>
      <c r="G154" s="37" t="n">
        <f aca="false">E154*F154</f>
        <v>2114023.6</v>
      </c>
      <c r="H154" s="38" t="n">
        <f aca="false">IFERROR(xlookup(D154,'Lookup Reference'!$A$4:$A$6,'Lookup Reference'!$C$4:$C$6),INDEX('Lookup Reference'!$C$4:$C$6,MATCH(D154,'Lookup Reference'!$A$4:$A$6,0)))</f>
        <v>0.46</v>
      </c>
      <c r="I154" s="37" t="n">
        <f aca="false">G154*H154</f>
        <v>972450.856</v>
      </c>
      <c r="J154" s="37" t="n">
        <f aca="false">G154-I154</f>
        <v>1141572.744</v>
      </c>
    </row>
    <row r="155" customFormat="false" ht="15" hidden="false" customHeight="true" outlineLevel="0" collapsed="false">
      <c r="A155" s="39" t="n">
        <v>45658</v>
      </c>
      <c r="B155" s="24" t="s">
        <v>84</v>
      </c>
      <c r="C155" s="24" t="s">
        <v>71</v>
      </c>
      <c r="D155" s="24" t="s">
        <v>44</v>
      </c>
      <c r="E155" s="40" t="n">
        <v>317</v>
      </c>
      <c r="F155" s="25" t="n">
        <v>6601.91</v>
      </c>
      <c r="G155" s="41" t="n">
        <f aca="false">E155*F155</f>
        <v>2092805.47</v>
      </c>
      <c r="H155" s="42" t="n">
        <f aca="false">IFERROR(xlookup(D155,'Lookup Reference'!$A$4:$A$6,'Lookup Reference'!$C$4:$C$6),INDEX('Lookup Reference'!$C$4:$C$6,MATCH(D155,'Lookup Reference'!$A$4:$A$6,0)))</f>
        <v>0.52</v>
      </c>
      <c r="I155" s="41" t="n">
        <f aca="false">G155*H155</f>
        <v>1088258.8444</v>
      </c>
      <c r="J155" s="41" t="n">
        <f aca="false">G155-I155</f>
        <v>1004546.6256</v>
      </c>
    </row>
    <row r="156" customFormat="false" ht="15" hidden="false" customHeight="true" outlineLevel="0" collapsed="false">
      <c r="A156" s="35" t="n">
        <v>45658</v>
      </c>
      <c r="B156" s="8" t="s">
        <v>84</v>
      </c>
      <c r="C156" s="8" t="s">
        <v>71</v>
      </c>
      <c r="D156" s="8" t="s">
        <v>45</v>
      </c>
      <c r="E156" s="36" t="n">
        <v>351</v>
      </c>
      <c r="F156" s="21" t="n">
        <v>2246.16</v>
      </c>
      <c r="G156" s="37" t="n">
        <f aca="false">E156*F156</f>
        <v>788402.16</v>
      </c>
      <c r="H156" s="38" t="n">
        <f aca="false">IFERROR(xlookup(D156,'Lookup Reference'!$A$4:$A$6,'Lookup Reference'!$C$4:$C$6),INDEX('Lookup Reference'!$C$4:$C$6,MATCH(D156,'Lookup Reference'!$A$4:$A$6,0)))</f>
        <v>0.38</v>
      </c>
      <c r="I156" s="37" t="n">
        <f aca="false">G156*H156</f>
        <v>299592.8208</v>
      </c>
      <c r="J156" s="37" t="n">
        <f aca="false">G156-I156</f>
        <v>488809.3392</v>
      </c>
    </row>
    <row r="157" customFormat="false" ht="15" hidden="false" customHeight="true" outlineLevel="0" collapsed="false">
      <c r="A157" s="39" t="n">
        <v>45658</v>
      </c>
      <c r="B157" s="24" t="s">
        <v>84</v>
      </c>
      <c r="C157" s="24" t="s">
        <v>72</v>
      </c>
      <c r="D157" s="24" t="s">
        <v>43</v>
      </c>
      <c r="E157" s="40" t="n">
        <v>393</v>
      </c>
      <c r="F157" s="25" t="n">
        <v>4179.08</v>
      </c>
      <c r="G157" s="41" t="n">
        <f aca="false">E157*F157</f>
        <v>1642378.44</v>
      </c>
      <c r="H157" s="42" t="n">
        <f aca="false">IFERROR(xlookup(D157,'Lookup Reference'!$A$4:$A$6,'Lookup Reference'!$C$4:$C$6),INDEX('Lookup Reference'!$C$4:$C$6,MATCH(D157,'Lookup Reference'!$A$4:$A$6,0)))</f>
        <v>0.46</v>
      </c>
      <c r="I157" s="41" t="n">
        <f aca="false">G157*H157</f>
        <v>755494.0824</v>
      </c>
      <c r="J157" s="41" t="n">
        <f aca="false">G157-I157</f>
        <v>886884.3576</v>
      </c>
    </row>
    <row r="158" customFormat="false" ht="15" hidden="false" customHeight="true" outlineLevel="0" collapsed="false">
      <c r="A158" s="35" t="n">
        <v>45658</v>
      </c>
      <c r="B158" s="8" t="s">
        <v>84</v>
      </c>
      <c r="C158" s="8" t="s">
        <v>72</v>
      </c>
      <c r="D158" s="8" t="s">
        <v>44</v>
      </c>
      <c r="E158" s="36" t="n">
        <v>273</v>
      </c>
      <c r="F158" s="21" t="n">
        <v>6746.12</v>
      </c>
      <c r="G158" s="37" t="n">
        <f aca="false">E158*F158</f>
        <v>1841690.76</v>
      </c>
      <c r="H158" s="38" t="n">
        <f aca="false">IFERROR(xlookup(D158,'Lookup Reference'!$A$4:$A$6,'Lookup Reference'!$C$4:$C$6),INDEX('Lookup Reference'!$C$4:$C$6,MATCH(D158,'Lookup Reference'!$A$4:$A$6,0)))</f>
        <v>0.52</v>
      </c>
      <c r="I158" s="37" t="n">
        <f aca="false">G158*H158</f>
        <v>957679.1952</v>
      </c>
      <c r="J158" s="37" t="n">
        <f aca="false">G158-I158</f>
        <v>884011.5648</v>
      </c>
    </row>
    <row r="159" customFormat="false" ht="15" hidden="false" customHeight="true" outlineLevel="0" collapsed="false">
      <c r="A159" s="39" t="n">
        <v>45658</v>
      </c>
      <c r="B159" s="24" t="s">
        <v>84</v>
      </c>
      <c r="C159" s="24" t="s">
        <v>72</v>
      </c>
      <c r="D159" s="24" t="s">
        <v>45</v>
      </c>
      <c r="E159" s="40" t="n">
        <v>365</v>
      </c>
      <c r="F159" s="25" t="n">
        <v>2261.44</v>
      </c>
      <c r="G159" s="41" t="n">
        <f aca="false">E159*F159</f>
        <v>825425.6</v>
      </c>
      <c r="H159" s="42" t="n">
        <f aca="false">IFERROR(xlookup(D159,'Lookup Reference'!$A$4:$A$6,'Lookup Reference'!$C$4:$C$6),INDEX('Lookup Reference'!$C$4:$C$6,MATCH(D159,'Lookup Reference'!$A$4:$A$6,0)))</f>
        <v>0.38</v>
      </c>
      <c r="I159" s="41" t="n">
        <f aca="false">G159*H159</f>
        <v>313661.728</v>
      </c>
      <c r="J159" s="41" t="n">
        <f aca="false">G159-I159</f>
        <v>511763.872</v>
      </c>
    </row>
    <row r="160" customFormat="false" ht="15" hidden="false" customHeight="true" outlineLevel="0" collapsed="false">
      <c r="A160" s="35" t="n">
        <v>45689</v>
      </c>
      <c r="B160" s="8" t="s">
        <v>85</v>
      </c>
      <c r="C160" s="8" t="s">
        <v>69</v>
      </c>
      <c r="D160" s="8" t="s">
        <v>43</v>
      </c>
      <c r="E160" s="36" t="n">
        <v>408</v>
      </c>
      <c r="F160" s="21" t="n">
        <v>3924.1</v>
      </c>
      <c r="G160" s="37" t="n">
        <f aca="false">E160*F160</f>
        <v>1601032.8</v>
      </c>
      <c r="H160" s="38" t="n">
        <f aca="false">IFERROR(xlookup(D160,'Lookup Reference'!$A$4:$A$6,'Lookup Reference'!$C$4:$C$6),INDEX('Lookup Reference'!$C$4:$C$6,MATCH(D160,'Lookup Reference'!$A$4:$A$6,0)))</f>
        <v>0.46</v>
      </c>
      <c r="I160" s="37" t="n">
        <f aca="false">G160*H160</f>
        <v>736475.088</v>
      </c>
      <c r="J160" s="37" t="n">
        <f aca="false">G160-I160</f>
        <v>864557.712</v>
      </c>
    </row>
    <row r="161" customFormat="false" ht="15" hidden="false" customHeight="true" outlineLevel="0" collapsed="false">
      <c r="A161" s="39" t="n">
        <v>45689</v>
      </c>
      <c r="B161" s="24" t="s">
        <v>85</v>
      </c>
      <c r="C161" s="24" t="s">
        <v>69</v>
      </c>
      <c r="D161" s="24" t="s">
        <v>44</v>
      </c>
      <c r="E161" s="40" t="n">
        <v>287</v>
      </c>
      <c r="F161" s="25" t="n">
        <v>6758.53</v>
      </c>
      <c r="G161" s="41" t="n">
        <f aca="false">E161*F161</f>
        <v>1939698.11</v>
      </c>
      <c r="H161" s="42" t="n">
        <f aca="false">IFERROR(xlookup(D161,'Lookup Reference'!$A$4:$A$6,'Lookup Reference'!$C$4:$C$6),INDEX('Lookup Reference'!$C$4:$C$6,MATCH(D161,'Lookup Reference'!$A$4:$A$6,0)))</f>
        <v>0.52</v>
      </c>
      <c r="I161" s="41" t="n">
        <f aca="false">G161*H161</f>
        <v>1008643.0172</v>
      </c>
      <c r="J161" s="41" t="n">
        <f aca="false">G161-I161</f>
        <v>931055.0928</v>
      </c>
    </row>
    <row r="162" customFormat="false" ht="15" hidden="false" customHeight="true" outlineLevel="0" collapsed="false">
      <c r="A162" s="35" t="n">
        <v>45689</v>
      </c>
      <c r="B162" s="8" t="s">
        <v>85</v>
      </c>
      <c r="C162" s="8" t="s">
        <v>69</v>
      </c>
      <c r="D162" s="8" t="s">
        <v>45</v>
      </c>
      <c r="E162" s="36" t="n">
        <v>344</v>
      </c>
      <c r="F162" s="21" t="n">
        <v>2336.88</v>
      </c>
      <c r="G162" s="37" t="n">
        <f aca="false">E162*F162</f>
        <v>803886.72</v>
      </c>
      <c r="H162" s="38" t="n">
        <f aca="false">IFERROR(xlookup(D162,'Lookup Reference'!$A$4:$A$6,'Lookup Reference'!$C$4:$C$6),INDEX('Lookup Reference'!$C$4:$C$6,MATCH(D162,'Lookup Reference'!$A$4:$A$6,0)))</f>
        <v>0.38</v>
      </c>
      <c r="I162" s="37" t="n">
        <f aca="false">G162*H162</f>
        <v>305476.9536</v>
      </c>
      <c r="J162" s="37" t="n">
        <f aca="false">G162-I162</f>
        <v>498409.7664</v>
      </c>
    </row>
    <row r="163" customFormat="false" ht="15" hidden="false" customHeight="true" outlineLevel="0" collapsed="false">
      <c r="A163" s="39" t="n">
        <v>45689</v>
      </c>
      <c r="B163" s="24" t="s">
        <v>85</v>
      </c>
      <c r="C163" s="24" t="s">
        <v>70</v>
      </c>
      <c r="D163" s="24" t="s">
        <v>43</v>
      </c>
      <c r="E163" s="40" t="n">
        <v>350</v>
      </c>
      <c r="F163" s="25" t="n">
        <v>4188.63</v>
      </c>
      <c r="G163" s="41" t="n">
        <f aca="false">E163*F163</f>
        <v>1466020.5</v>
      </c>
      <c r="H163" s="42" t="n">
        <f aca="false">IFERROR(xlookup(D163,'Lookup Reference'!$A$4:$A$6,'Lookup Reference'!$C$4:$C$6),INDEX('Lookup Reference'!$C$4:$C$6,MATCH(D163,'Lookup Reference'!$A$4:$A$6,0)))</f>
        <v>0.46</v>
      </c>
      <c r="I163" s="41" t="n">
        <f aca="false">G163*H163</f>
        <v>674369.43</v>
      </c>
      <c r="J163" s="41" t="n">
        <f aca="false">G163-I163</f>
        <v>791651.07</v>
      </c>
    </row>
    <row r="164" customFormat="false" ht="15" hidden="false" customHeight="true" outlineLevel="0" collapsed="false">
      <c r="A164" s="35" t="n">
        <v>45689</v>
      </c>
      <c r="B164" s="8" t="s">
        <v>85</v>
      </c>
      <c r="C164" s="8" t="s">
        <v>70</v>
      </c>
      <c r="D164" s="8" t="s">
        <v>44</v>
      </c>
      <c r="E164" s="36" t="n">
        <v>257</v>
      </c>
      <c r="F164" s="21" t="n">
        <v>6806.28</v>
      </c>
      <c r="G164" s="37" t="n">
        <f aca="false">E164*F164</f>
        <v>1749213.96</v>
      </c>
      <c r="H164" s="38" t="n">
        <f aca="false">IFERROR(xlookup(D164,'Lookup Reference'!$A$4:$A$6,'Lookup Reference'!$C$4:$C$6),INDEX('Lookup Reference'!$C$4:$C$6,MATCH(D164,'Lookup Reference'!$A$4:$A$6,0)))</f>
        <v>0.52</v>
      </c>
      <c r="I164" s="37" t="n">
        <f aca="false">G164*H164</f>
        <v>909591.2592</v>
      </c>
      <c r="J164" s="37" t="n">
        <f aca="false">G164-I164</f>
        <v>839622.7008</v>
      </c>
    </row>
    <row r="165" customFormat="false" ht="15" hidden="false" customHeight="true" outlineLevel="0" collapsed="false">
      <c r="A165" s="39" t="n">
        <v>45689</v>
      </c>
      <c r="B165" s="24" t="s">
        <v>85</v>
      </c>
      <c r="C165" s="24" t="s">
        <v>70</v>
      </c>
      <c r="D165" s="24" t="s">
        <v>45</v>
      </c>
      <c r="E165" s="40" t="n">
        <v>332</v>
      </c>
      <c r="F165" s="25" t="n">
        <v>2384.63</v>
      </c>
      <c r="G165" s="41" t="n">
        <f aca="false">E165*F165</f>
        <v>791697.16</v>
      </c>
      <c r="H165" s="42" t="n">
        <f aca="false">IFERROR(xlookup(D165,'Lookup Reference'!$A$4:$A$6,'Lookup Reference'!$C$4:$C$6),INDEX('Lookup Reference'!$C$4:$C$6,MATCH(D165,'Lookup Reference'!$A$4:$A$6,0)))</f>
        <v>0.38</v>
      </c>
      <c r="I165" s="41" t="n">
        <f aca="false">G165*H165</f>
        <v>300844.9208</v>
      </c>
      <c r="J165" s="41" t="n">
        <f aca="false">G165-I165</f>
        <v>490852.2392</v>
      </c>
    </row>
    <row r="166" customFormat="false" ht="15" hidden="false" customHeight="true" outlineLevel="0" collapsed="false">
      <c r="A166" s="35" t="n">
        <v>45689</v>
      </c>
      <c r="B166" s="8" t="s">
        <v>85</v>
      </c>
      <c r="C166" s="8" t="s">
        <v>71</v>
      </c>
      <c r="D166" s="8" t="s">
        <v>43</v>
      </c>
      <c r="E166" s="36" t="n">
        <v>410</v>
      </c>
      <c r="F166" s="21" t="n">
        <v>4126.56</v>
      </c>
      <c r="G166" s="37" t="n">
        <f aca="false">E166*F166</f>
        <v>1691889.6</v>
      </c>
      <c r="H166" s="38" t="n">
        <f aca="false">IFERROR(xlookup(D166,'Lookup Reference'!$A$4:$A$6,'Lookup Reference'!$C$4:$C$6),INDEX('Lookup Reference'!$C$4:$C$6,MATCH(D166,'Lookup Reference'!$A$4:$A$6,0)))</f>
        <v>0.46</v>
      </c>
      <c r="I166" s="37" t="n">
        <f aca="false">G166*H166</f>
        <v>778269.216</v>
      </c>
      <c r="J166" s="37" t="n">
        <f aca="false">G166-I166</f>
        <v>913620.384</v>
      </c>
    </row>
    <row r="167" customFormat="false" ht="15" hidden="false" customHeight="true" outlineLevel="0" collapsed="false">
      <c r="A167" s="39" t="n">
        <v>45689</v>
      </c>
      <c r="B167" s="24" t="s">
        <v>85</v>
      </c>
      <c r="C167" s="24" t="s">
        <v>71</v>
      </c>
      <c r="D167" s="24" t="s">
        <v>44</v>
      </c>
      <c r="E167" s="40" t="n">
        <v>275</v>
      </c>
      <c r="F167" s="25" t="n">
        <v>6782.41</v>
      </c>
      <c r="G167" s="41" t="n">
        <f aca="false">E167*F167</f>
        <v>1865162.75</v>
      </c>
      <c r="H167" s="42" t="n">
        <f aca="false">IFERROR(xlookup(D167,'Lookup Reference'!$A$4:$A$6,'Lookup Reference'!$C$4:$C$6),INDEX('Lookup Reference'!$C$4:$C$6,MATCH(D167,'Lookup Reference'!$A$4:$A$6,0)))</f>
        <v>0.52</v>
      </c>
      <c r="I167" s="41" t="n">
        <f aca="false">G167*H167</f>
        <v>969884.63</v>
      </c>
      <c r="J167" s="41" t="n">
        <f aca="false">G167-I167</f>
        <v>895278.12</v>
      </c>
    </row>
    <row r="168" customFormat="false" ht="15" hidden="false" customHeight="true" outlineLevel="0" collapsed="false">
      <c r="A168" s="35" t="n">
        <v>45689</v>
      </c>
      <c r="B168" s="8" t="s">
        <v>85</v>
      </c>
      <c r="C168" s="8" t="s">
        <v>71</v>
      </c>
      <c r="D168" s="8" t="s">
        <v>45</v>
      </c>
      <c r="E168" s="36" t="n">
        <v>402</v>
      </c>
      <c r="F168" s="21" t="n">
        <v>2381.77</v>
      </c>
      <c r="G168" s="37" t="n">
        <f aca="false">E168*F168</f>
        <v>957471.54</v>
      </c>
      <c r="H168" s="38" t="n">
        <f aca="false">IFERROR(xlookup(D168,'Lookup Reference'!$A$4:$A$6,'Lookup Reference'!$C$4:$C$6),INDEX('Lookup Reference'!$C$4:$C$6,MATCH(D168,'Lookup Reference'!$A$4:$A$6,0)))</f>
        <v>0.38</v>
      </c>
      <c r="I168" s="37" t="n">
        <f aca="false">G168*H168</f>
        <v>363839.1852</v>
      </c>
      <c r="J168" s="37" t="n">
        <f aca="false">G168-I168</f>
        <v>593632.3548</v>
      </c>
    </row>
    <row r="169" customFormat="false" ht="15" hidden="false" customHeight="true" outlineLevel="0" collapsed="false">
      <c r="A169" s="39" t="n">
        <v>45689</v>
      </c>
      <c r="B169" s="24" t="s">
        <v>85</v>
      </c>
      <c r="C169" s="24" t="s">
        <v>72</v>
      </c>
      <c r="D169" s="24" t="s">
        <v>43</v>
      </c>
      <c r="E169" s="40" t="n">
        <v>432</v>
      </c>
      <c r="F169" s="25" t="n">
        <v>3976.62</v>
      </c>
      <c r="G169" s="41" t="n">
        <f aca="false">E169*F169</f>
        <v>1717899.84</v>
      </c>
      <c r="H169" s="42" t="n">
        <f aca="false">IFERROR(xlookup(D169,'Lookup Reference'!$A$4:$A$6,'Lookup Reference'!$C$4:$C$6),INDEX('Lookup Reference'!$C$4:$C$6,MATCH(D169,'Lookup Reference'!$A$4:$A$6,0)))</f>
        <v>0.46</v>
      </c>
      <c r="I169" s="41" t="n">
        <f aca="false">G169*H169</f>
        <v>790233.9264</v>
      </c>
      <c r="J169" s="41" t="n">
        <f aca="false">G169-I169</f>
        <v>927665.9136</v>
      </c>
    </row>
    <row r="170" customFormat="false" ht="15" hidden="false" customHeight="true" outlineLevel="0" collapsed="false">
      <c r="A170" s="35" t="n">
        <v>45689</v>
      </c>
      <c r="B170" s="8" t="s">
        <v>85</v>
      </c>
      <c r="C170" s="8" t="s">
        <v>72</v>
      </c>
      <c r="D170" s="8" t="s">
        <v>44</v>
      </c>
      <c r="E170" s="36" t="n">
        <v>266</v>
      </c>
      <c r="F170" s="21" t="n">
        <v>6355.52</v>
      </c>
      <c r="G170" s="37" t="n">
        <f aca="false">E170*F170</f>
        <v>1690568.32</v>
      </c>
      <c r="H170" s="38" t="n">
        <f aca="false">IFERROR(xlookup(D170,'Lookup Reference'!$A$4:$A$6,'Lookup Reference'!$C$4:$C$6),INDEX('Lookup Reference'!$C$4:$C$6,MATCH(D170,'Lookup Reference'!$A$4:$A$6,0)))</f>
        <v>0.52</v>
      </c>
      <c r="I170" s="37" t="n">
        <f aca="false">G170*H170</f>
        <v>879095.5264</v>
      </c>
      <c r="J170" s="37" t="n">
        <f aca="false">G170-I170</f>
        <v>811472.7936</v>
      </c>
    </row>
    <row r="171" customFormat="false" ht="15" hidden="false" customHeight="true" outlineLevel="0" collapsed="false">
      <c r="A171" s="39" t="n">
        <v>45689</v>
      </c>
      <c r="B171" s="24" t="s">
        <v>85</v>
      </c>
      <c r="C171" s="24" t="s">
        <v>72</v>
      </c>
      <c r="D171" s="24" t="s">
        <v>45</v>
      </c>
      <c r="E171" s="40" t="n">
        <v>355</v>
      </c>
      <c r="F171" s="25" t="n">
        <v>2380.82</v>
      </c>
      <c r="G171" s="41" t="n">
        <f aca="false">E171*F171</f>
        <v>845191.1</v>
      </c>
      <c r="H171" s="42" t="n">
        <f aca="false">IFERROR(xlookup(D171,'Lookup Reference'!$A$4:$A$6,'Lookup Reference'!$C$4:$C$6),INDEX('Lookup Reference'!$C$4:$C$6,MATCH(D171,'Lookup Reference'!$A$4:$A$6,0)))</f>
        <v>0.38</v>
      </c>
      <c r="I171" s="41" t="n">
        <f aca="false">G171*H171</f>
        <v>321172.618</v>
      </c>
      <c r="J171" s="41" t="n">
        <f aca="false">G171-I171</f>
        <v>524018.482</v>
      </c>
    </row>
    <row r="172" customFormat="false" ht="15" hidden="false" customHeight="true" outlineLevel="0" collapsed="false">
      <c r="A172" s="35" t="n">
        <v>45717</v>
      </c>
      <c r="B172" s="8" t="s">
        <v>86</v>
      </c>
      <c r="C172" s="8" t="s">
        <v>69</v>
      </c>
      <c r="D172" s="8" t="s">
        <v>43</v>
      </c>
      <c r="E172" s="36" t="n">
        <v>475</v>
      </c>
      <c r="F172" s="21" t="n">
        <v>4152.34</v>
      </c>
      <c r="G172" s="37" t="n">
        <f aca="false">E172*F172</f>
        <v>1972361.5</v>
      </c>
      <c r="H172" s="38" t="n">
        <f aca="false">IFERROR(xlookup(D172,'Lookup Reference'!$A$4:$A$6,'Lookup Reference'!$C$4:$C$6),INDEX('Lookup Reference'!$C$4:$C$6,MATCH(D172,'Lookup Reference'!$A$4:$A$6,0)))</f>
        <v>0.46</v>
      </c>
      <c r="I172" s="37" t="n">
        <f aca="false">G172*H172</f>
        <v>907286.29</v>
      </c>
      <c r="J172" s="37" t="n">
        <f aca="false">G172-I172</f>
        <v>1065075.21</v>
      </c>
    </row>
    <row r="173" customFormat="false" ht="15" hidden="false" customHeight="true" outlineLevel="0" collapsed="false">
      <c r="A173" s="39" t="n">
        <v>45717</v>
      </c>
      <c r="B173" s="24" t="s">
        <v>86</v>
      </c>
      <c r="C173" s="24" t="s">
        <v>69</v>
      </c>
      <c r="D173" s="24" t="s">
        <v>44</v>
      </c>
      <c r="E173" s="40" t="n">
        <v>312</v>
      </c>
      <c r="F173" s="25" t="n">
        <v>6457.71</v>
      </c>
      <c r="G173" s="41" t="n">
        <f aca="false">E173*F173</f>
        <v>2014805.52</v>
      </c>
      <c r="H173" s="42" t="n">
        <f aca="false">IFERROR(xlookup(D173,'Lookup Reference'!$A$4:$A$6,'Lookup Reference'!$C$4:$C$6),INDEX('Lookup Reference'!$C$4:$C$6,MATCH(D173,'Lookup Reference'!$A$4:$A$6,0)))</f>
        <v>0.52</v>
      </c>
      <c r="I173" s="41" t="n">
        <f aca="false">G173*H173</f>
        <v>1047698.8704</v>
      </c>
      <c r="J173" s="41" t="n">
        <f aca="false">G173-I173</f>
        <v>967106.6496</v>
      </c>
    </row>
    <row r="174" customFormat="false" ht="15" hidden="false" customHeight="true" outlineLevel="0" collapsed="false">
      <c r="A174" s="35" t="n">
        <v>45717</v>
      </c>
      <c r="B174" s="8" t="s">
        <v>86</v>
      </c>
      <c r="C174" s="8" t="s">
        <v>69</v>
      </c>
      <c r="D174" s="8" t="s">
        <v>45</v>
      </c>
      <c r="E174" s="36" t="n">
        <v>441</v>
      </c>
      <c r="F174" s="21" t="n">
        <v>2265.26</v>
      </c>
      <c r="G174" s="37" t="n">
        <f aca="false">E174*F174</f>
        <v>998979.66</v>
      </c>
      <c r="H174" s="38" t="n">
        <f aca="false">IFERROR(xlookup(D174,'Lookup Reference'!$A$4:$A$6,'Lookup Reference'!$C$4:$C$6),INDEX('Lookup Reference'!$C$4:$C$6,MATCH(D174,'Lookup Reference'!$A$4:$A$6,0)))</f>
        <v>0.38</v>
      </c>
      <c r="I174" s="37" t="n">
        <f aca="false">G174*H174</f>
        <v>379612.2708</v>
      </c>
      <c r="J174" s="37" t="n">
        <f aca="false">G174-I174</f>
        <v>619367.3892</v>
      </c>
    </row>
    <row r="175" customFormat="false" ht="15" hidden="false" customHeight="true" outlineLevel="0" collapsed="false">
      <c r="A175" s="39" t="n">
        <v>45717</v>
      </c>
      <c r="B175" s="24" t="s">
        <v>86</v>
      </c>
      <c r="C175" s="24" t="s">
        <v>70</v>
      </c>
      <c r="D175" s="24" t="s">
        <v>43</v>
      </c>
      <c r="E175" s="40" t="n">
        <v>397</v>
      </c>
      <c r="F175" s="25" t="n">
        <v>3952.74</v>
      </c>
      <c r="G175" s="41" t="n">
        <f aca="false">E175*F175</f>
        <v>1569237.78</v>
      </c>
      <c r="H175" s="42" t="n">
        <f aca="false">IFERROR(xlookup(D175,'Lookup Reference'!$A$4:$A$6,'Lookup Reference'!$C$4:$C$6),INDEX('Lookup Reference'!$C$4:$C$6,MATCH(D175,'Lookup Reference'!$A$4:$A$6,0)))</f>
        <v>0.46</v>
      </c>
      <c r="I175" s="41" t="n">
        <f aca="false">G175*H175</f>
        <v>721849.3788</v>
      </c>
      <c r="J175" s="41" t="n">
        <f aca="false">G175-I175</f>
        <v>847388.4012</v>
      </c>
    </row>
    <row r="176" customFormat="false" ht="15" hidden="false" customHeight="true" outlineLevel="0" collapsed="false">
      <c r="A176" s="35" t="n">
        <v>45717</v>
      </c>
      <c r="B176" s="8" t="s">
        <v>86</v>
      </c>
      <c r="C176" s="8" t="s">
        <v>70</v>
      </c>
      <c r="D176" s="8" t="s">
        <v>44</v>
      </c>
      <c r="E176" s="36" t="n">
        <v>266</v>
      </c>
      <c r="F176" s="21" t="n">
        <v>6748.03</v>
      </c>
      <c r="G176" s="37" t="n">
        <f aca="false">E176*F176</f>
        <v>1794975.98</v>
      </c>
      <c r="H176" s="38" t="n">
        <f aca="false">IFERROR(xlookup(D176,'Lookup Reference'!$A$4:$A$6,'Lookup Reference'!$C$4:$C$6),INDEX('Lookup Reference'!$C$4:$C$6,MATCH(D176,'Lookup Reference'!$A$4:$A$6,0)))</f>
        <v>0.52</v>
      </c>
      <c r="I176" s="37" t="n">
        <f aca="false">G176*H176</f>
        <v>933387.5096</v>
      </c>
      <c r="J176" s="37" t="n">
        <f aca="false">G176-I176</f>
        <v>861588.4704</v>
      </c>
    </row>
    <row r="177" customFormat="false" ht="15" hidden="false" customHeight="true" outlineLevel="0" collapsed="false">
      <c r="A177" s="39" t="n">
        <v>45717</v>
      </c>
      <c r="B177" s="24" t="s">
        <v>86</v>
      </c>
      <c r="C177" s="24" t="s">
        <v>70</v>
      </c>
      <c r="D177" s="24" t="s">
        <v>45</v>
      </c>
      <c r="E177" s="40" t="n">
        <v>403</v>
      </c>
      <c r="F177" s="25" t="n">
        <v>2274.81</v>
      </c>
      <c r="G177" s="41" t="n">
        <f aca="false">E177*F177</f>
        <v>916748.43</v>
      </c>
      <c r="H177" s="42" t="n">
        <f aca="false">IFERROR(xlookup(D177,'Lookup Reference'!$A$4:$A$6,'Lookup Reference'!$C$4:$C$6),INDEX('Lookup Reference'!$C$4:$C$6,MATCH(D177,'Lookup Reference'!$A$4:$A$6,0)))</f>
        <v>0.38</v>
      </c>
      <c r="I177" s="41" t="n">
        <f aca="false">G177*H177</f>
        <v>348364.4034</v>
      </c>
      <c r="J177" s="41" t="n">
        <f aca="false">G177-I177</f>
        <v>568384.0266</v>
      </c>
    </row>
    <row r="178" customFormat="false" ht="15" hidden="false" customHeight="true" outlineLevel="0" collapsed="false">
      <c r="A178" s="35" t="n">
        <v>45717</v>
      </c>
      <c r="B178" s="8" t="s">
        <v>86</v>
      </c>
      <c r="C178" s="8" t="s">
        <v>71</v>
      </c>
      <c r="D178" s="8" t="s">
        <v>43</v>
      </c>
      <c r="E178" s="36" t="n">
        <v>561</v>
      </c>
      <c r="F178" s="21" t="n">
        <v>4018.64</v>
      </c>
      <c r="G178" s="37" t="n">
        <f aca="false">E178*F178</f>
        <v>2254457.04</v>
      </c>
      <c r="H178" s="38" t="n">
        <f aca="false">IFERROR(xlookup(D178,'Lookup Reference'!$A$4:$A$6,'Lookup Reference'!$C$4:$C$6),INDEX('Lookup Reference'!$C$4:$C$6,MATCH(D178,'Lookup Reference'!$A$4:$A$6,0)))</f>
        <v>0.46</v>
      </c>
      <c r="I178" s="37" t="n">
        <f aca="false">G178*H178</f>
        <v>1037050.2384</v>
      </c>
      <c r="J178" s="37" t="n">
        <f aca="false">G178-I178</f>
        <v>1217406.8016</v>
      </c>
    </row>
    <row r="179" customFormat="false" ht="15" hidden="false" customHeight="true" outlineLevel="0" collapsed="false">
      <c r="A179" s="39" t="n">
        <v>45717</v>
      </c>
      <c r="B179" s="24" t="s">
        <v>86</v>
      </c>
      <c r="C179" s="24" t="s">
        <v>71</v>
      </c>
      <c r="D179" s="24" t="s">
        <v>44</v>
      </c>
      <c r="E179" s="40" t="n">
        <v>374</v>
      </c>
      <c r="F179" s="25" t="n">
        <v>6578.04</v>
      </c>
      <c r="G179" s="41" t="n">
        <f aca="false">E179*F179</f>
        <v>2460186.96</v>
      </c>
      <c r="H179" s="42" t="n">
        <f aca="false">IFERROR(xlookup(D179,'Lookup Reference'!$A$4:$A$6,'Lookup Reference'!$C$4:$C$6),INDEX('Lookup Reference'!$C$4:$C$6,MATCH(D179,'Lookup Reference'!$A$4:$A$6,0)))</f>
        <v>0.52</v>
      </c>
      <c r="I179" s="41" t="n">
        <f aca="false">G179*H179</f>
        <v>1279297.2192</v>
      </c>
      <c r="J179" s="41" t="n">
        <f aca="false">G179-I179</f>
        <v>1180889.7408</v>
      </c>
    </row>
    <row r="180" customFormat="false" ht="15" hidden="false" customHeight="true" outlineLevel="0" collapsed="false">
      <c r="A180" s="35" t="n">
        <v>45717</v>
      </c>
      <c r="B180" s="8" t="s">
        <v>86</v>
      </c>
      <c r="C180" s="8" t="s">
        <v>71</v>
      </c>
      <c r="D180" s="8" t="s">
        <v>45</v>
      </c>
      <c r="E180" s="36" t="n">
        <v>485</v>
      </c>
      <c r="F180" s="21" t="n">
        <v>2244.25</v>
      </c>
      <c r="G180" s="37" t="n">
        <f aca="false">E180*F180</f>
        <v>1088461.25</v>
      </c>
      <c r="H180" s="38" t="n">
        <f aca="false">IFERROR(xlookup(D180,'Lookup Reference'!$A$4:$A$6,'Lookup Reference'!$C$4:$C$6),INDEX('Lookup Reference'!$C$4:$C$6,MATCH(D180,'Lookup Reference'!$A$4:$A$6,0)))</f>
        <v>0.38</v>
      </c>
      <c r="I180" s="37" t="n">
        <f aca="false">G180*H180</f>
        <v>413615.275</v>
      </c>
      <c r="J180" s="37" t="n">
        <f aca="false">G180-I180</f>
        <v>674845.975</v>
      </c>
    </row>
    <row r="181" customFormat="false" ht="15" hidden="false" customHeight="true" outlineLevel="0" collapsed="false">
      <c r="A181" s="39" t="n">
        <v>45717</v>
      </c>
      <c r="B181" s="24" t="s">
        <v>86</v>
      </c>
      <c r="C181" s="24" t="s">
        <v>72</v>
      </c>
      <c r="D181" s="24" t="s">
        <v>43</v>
      </c>
      <c r="E181" s="40" t="n">
        <v>525</v>
      </c>
      <c r="F181" s="25" t="n">
        <v>3947.97</v>
      </c>
      <c r="G181" s="41" t="n">
        <f aca="false">E181*F181</f>
        <v>2072684.25</v>
      </c>
      <c r="H181" s="42" t="n">
        <f aca="false">IFERROR(xlookup(D181,'Lookup Reference'!$A$4:$A$6,'Lookup Reference'!$C$4:$C$6),INDEX('Lookup Reference'!$C$4:$C$6,MATCH(D181,'Lookup Reference'!$A$4:$A$6,0)))</f>
        <v>0.46</v>
      </c>
      <c r="I181" s="41" t="n">
        <f aca="false">G181*H181</f>
        <v>953434.755</v>
      </c>
      <c r="J181" s="41" t="n">
        <f aca="false">G181-I181</f>
        <v>1119249.495</v>
      </c>
    </row>
    <row r="182" customFormat="false" ht="15" hidden="false" customHeight="true" outlineLevel="0" collapsed="false">
      <c r="A182" s="35" t="n">
        <v>45717</v>
      </c>
      <c r="B182" s="8" t="s">
        <v>86</v>
      </c>
      <c r="C182" s="8" t="s">
        <v>72</v>
      </c>
      <c r="D182" s="8" t="s">
        <v>44</v>
      </c>
      <c r="E182" s="36" t="n">
        <v>324</v>
      </c>
      <c r="F182" s="21" t="n">
        <v>6436.7</v>
      </c>
      <c r="G182" s="37" t="n">
        <f aca="false">E182*F182</f>
        <v>2085490.8</v>
      </c>
      <c r="H182" s="38" t="n">
        <f aca="false">IFERROR(xlookup(D182,'Lookup Reference'!$A$4:$A$6,'Lookup Reference'!$C$4:$C$6),INDEX('Lookup Reference'!$C$4:$C$6,MATCH(D182,'Lookup Reference'!$A$4:$A$6,0)))</f>
        <v>0.52</v>
      </c>
      <c r="I182" s="37" t="n">
        <f aca="false">G182*H182</f>
        <v>1084455.216</v>
      </c>
      <c r="J182" s="37" t="n">
        <f aca="false">G182-I182</f>
        <v>1001035.584</v>
      </c>
    </row>
    <row r="183" customFormat="false" ht="15" hidden="false" customHeight="true" outlineLevel="0" collapsed="false">
      <c r="A183" s="39" t="n">
        <v>45717</v>
      </c>
      <c r="B183" s="24" t="s">
        <v>86</v>
      </c>
      <c r="C183" s="24" t="s">
        <v>72</v>
      </c>
      <c r="D183" s="24" t="s">
        <v>45</v>
      </c>
      <c r="E183" s="40" t="n">
        <v>346</v>
      </c>
      <c r="F183" s="25" t="n">
        <v>2302.51</v>
      </c>
      <c r="G183" s="41" t="n">
        <f aca="false">E183*F183</f>
        <v>796668.46</v>
      </c>
      <c r="H183" s="42" t="n">
        <f aca="false">IFERROR(xlookup(D183,'Lookup Reference'!$A$4:$A$6,'Lookup Reference'!$C$4:$C$6),INDEX('Lookup Reference'!$C$4:$C$6,MATCH(D183,'Lookup Reference'!$A$4:$A$6,0)))</f>
        <v>0.38</v>
      </c>
      <c r="I183" s="41" t="n">
        <f aca="false">G183*H183</f>
        <v>302734.0148</v>
      </c>
      <c r="J183" s="41" t="n">
        <f aca="false">G183-I183</f>
        <v>493934.4452</v>
      </c>
    </row>
    <row r="184" customFormat="false" ht="15" hidden="false" customHeight="true" outlineLevel="0" collapsed="false">
      <c r="A184" s="35" t="n">
        <v>45748</v>
      </c>
      <c r="B184" s="8" t="s">
        <v>87</v>
      </c>
      <c r="C184" s="8" t="s">
        <v>69</v>
      </c>
      <c r="D184" s="8" t="s">
        <v>43</v>
      </c>
      <c r="E184" s="36" t="n">
        <v>572</v>
      </c>
      <c r="F184" s="21" t="n">
        <v>3990.94</v>
      </c>
      <c r="G184" s="37" t="n">
        <f aca="false">E184*F184</f>
        <v>2282817.68</v>
      </c>
      <c r="H184" s="38" t="n">
        <f aca="false">IFERROR(xlookup(D184,'Lookup Reference'!$A$4:$A$6,'Lookup Reference'!$C$4:$C$6),INDEX('Lookup Reference'!$C$4:$C$6,MATCH(D184,'Lookup Reference'!$A$4:$A$6,0)))</f>
        <v>0.46</v>
      </c>
      <c r="I184" s="37" t="n">
        <f aca="false">G184*H184</f>
        <v>1050096.1328</v>
      </c>
      <c r="J184" s="37" t="n">
        <f aca="false">G184-I184</f>
        <v>1232721.5472</v>
      </c>
    </row>
    <row r="185" customFormat="false" ht="15" hidden="false" customHeight="true" outlineLevel="0" collapsed="false">
      <c r="A185" s="39" t="n">
        <v>45748</v>
      </c>
      <c r="B185" s="24" t="s">
        <v>87</v>
      </c>
      <c r="C185" s="24" t="s">
        <v>69</v>
      </c>
      <c r="D185" s="24" t="s">
        <v>44</v>
      </c>
      <c r="E185" s="40" t="n">
        <v>344</v>
      </c>
      <c r="F185" s="25" t="n">
        <v>6564.67</v>
      </c>
      <c r="G185" s="41" t="n">
        <f aca="false">E185*F185</f>
        <v>2258246.48</v>
      </c>
      <c r="H185" s="42" t="n">
        <f aca="false">IFERROR(xlookup(D185,'Lookup Reference'!$A$4:$A$6,'Lookup Reference'!$C$4:$C$6),INDEX('Lookup Reference'!$C$4:$C$6,MATCH(D185,'Lookup Reference'!$A$4:$A$6,0)))</f>
        <v>0.52</v>
      </c>
      <c r="I185" s="41" t="n">
        <f aca="false">G185*H185</f>
        <v>1174288.1696</v>
      </c>
      <c r="J185" s="41" t="n">
        <f aca="false">G185-I185</f>
        <v>1083958.3104</v>
      </c>
    </row>
    <row r="186" customFormat="false" ht="15" hidden="false" customHeight="true" outlineLevel="0" collapsed="false">
      <c r="A186" s="35" t="n">
        <v>45748</v>
      </c>
      <c r="B186" s="8" t="s">
        <v>87</v>
      </c>
      <c r="C186" s="8" t="s">
        <v>69</v>
      </c>
      <c r="D186" s="8" t="s">
        <v>45</v>
      </c>
      <c r="E186" s="36" t="n">
        <v>427</v>
      </c>
      <c r="F186" s="21" t="n">
        <v>2329.24</v>
      </c>
      <c r="G186" s="37" t="n">
        <f aca="false">E186*F186</f>
        <v>994585.48</v>
      </c>
      <c r="H186" s="38" t="n">
        <f aca="false">IFERROR(xlookup(D186,'Lookup Reference'!$A$4:$A$6,'Lookup Reference'!$C$4:$C$6),INDEX('Lookup Reference'!$C$4:$C$6,MATCH(D186,'Lookup Reference'!$A$4:$A$6,0)))</f>
        <v>0.38</v>
      </c>
      <c r="I186" s="37" t="n">
        <f aca="false">G186*H186</f>
        <v>377942.4824</v>
      </c>
      <c r="J186" s="37" t="n">
        <f aca="false">G186-I186</f>
        <v>616642.9976</v>
      </c>
    </row>
    <row r="187" customFormat="false" ht="15" hidden="false" customHeight="true" outlineLevel="0" collapsed="false">
      <c r="A187" s="39" t="n">
        <v>45748</v>
      </c>
      <c r="B187" s="24" t="s">
        <v>87</v>
      </c>
      <c r="C187" s="24" t="s">
        <v>70</v>
      </c>
      <c r="D187" s="24" t="s">
        <v>43</v>
      </c>
      <c r="E187" s="40" t="n">
        <v>449</v>
      </c>
      <c r="F187" s="25" t="n">
        <v>4117.96</v>
      </c>
      <c r="G187" s="41" t="n">
        <f aca="false">E187*F187</f>
        <v>1848964.04</v>
      </c>
      <c r="H187" s="42" t="n">
        <f aca="false">IFERROR(xlookup(D187,'Lookup Reference'!$A$4:$A$6,'Lookup Reference'!$C$4:$C$6),INDEX('Lookup Reference'!$C$4:$C$6,MATCH(D187,'Lookup Reference'!$A$4:$A$6,0)))</f>
        <v>0.46</v>
      </c>
      <c r="I187" s="41" t="n">
        <f aca="false">G187*H187</f>
        <v>850523.4584</v>
      </c>
      <c r="J187" s="41" t="n">
        <f aca="false">G187-I187</f>
        <v>998440.5816</v>
      </c>
    </row>
    <row r="188" customFormat="false" ht="15" hidden="false" customHeight="true" outlineLevel="0" collapsed="false">
      <c r="A188" s="35" t="n">
        <v>45748</v>
      </c>
      <c r="B188" s="8" t="s">
        <v>87</v>
      </c>
      <c r="C188" s="8" t="s">
        <v>70</v>
      </c>
      <c r="D188" s="8" t="s">
        <v>44</v>
      </c>
      <c r="E188" s="36" t="n">
        <v>260</v>
      </c>
      <c r="F188" s="21" t="n">
        <v>6780.5</v>
      </c>
      <c r="G188" s="37" t="n">
        <f aca="false">E188*F188</f>
        <v>1762930</v>
      </c>
      <c r="H188" s="38" t="n">
        <f aca="false">IFERROR(xlookup(D188,'Lookup Reference'!$A$4:$A$6,'Lookup Reference'!$C$4:$C$6),INDEX('Lookup Reference'!$C$4:$C$6,MATCH(D188,'Lookup Reference'!$A$4:$A$6,0)))</f>
        <v>0.52</v>
      </c>
      <c r="I188" s="37" t="n">
        <f aca="false">G188*H188</f>
        <v>916723.6</v>
      </c>
      <c r="J188" s="37" t="n">
        <f aca="false">G188-I188</f>
        <v>846206.4</v>
      </c>
    </row>
    <row r="189" customFormat="false" ht="15" hidden="false" customHeight="true" outlineLevel="0" collapsed="false">
      <c r="A189" s="39" t="n">
        <v>45748</v>
      </c>
      <c r="B189" s="24" t="s">
        <v>87</v>
      </c>
      <c r="C189" s="24" t="s">
        <v>70</v>
      </c>
      <c r="D189" s="24" t="s">
        <v>45</v>
      </c>
      <c r="E189" s="40" t="n">
        <v>390</v>
      </c>
      <c r="F189" s="25" t="n">
        <v>2355.03</v>
      </c>
      <c r="G189" s="41" t="n">
        <f aca="false">E189*F189</f>
        <v>918461.7</v>
      </c>
      <c r="H189" s="42" t="n">
        <f aca="false">IFERROR(xlookup(D189,'Lookup Reference'!$A$4:$A$6,'Lookup Reference'!$C$4:$C$6),INDEX('Lookup Reference'!$C$4:$C$6,MATCH(D189,'Lookup Reference'!$A$4:$A$6,0)))</f>
        <v>0.38</v>
      </c>
      <c r="I189" s="41" t="n">
        <f aca="false">G189*H189</f>
        <v>349015.446</v>
      </c>
      <c r="J189" s="41" t="n">
        <f aca="false">G189-I189</f>
        <v>569446.254</v>
      </c>
    </row>
    <row r="190" customFormat="false" ht="15" hidden="false" customHeight="true" outlineLevel="0" collapsed="false">
      <c r="A190" s="35" t="n">
        <v>45748</v>
      </c>
      <c r="B190" s="8" t="s">
        <v>87</v>
      </c>
      <c r="C190" s="8" t="s">
        <v>71</v>
      </c>
      <c r="D190" s="8" t="s">
        <v>43</v>
      </c>
      <c r="E190" s="36" t="n">
        <v>611</v>
      </c>
      <c r="F190" s="21" t="n">
        <v>4105.55</v>
      </c>
      <c r="G190" s="37" t="n">
        <f aca="false">E190*F190</f>
        <v>2508491.05</v>
      </c>
      <c r="H190" s="38" t="n">
        <f aca="false">IFERROR(xlookup(D190,'Lookup Reference'!$A$4:$A$6,'Lookup Reference'!$C$4:$C$6),INDEX('Lookup Reference'!$C$4:$C$6,MATCH(D190,'Lookup Reference'!$A$4:$A$6,0)))</f>
        <v>0.46</v>
      </c>
      <c r="I190" s="37" t="n">
        <f aca="false">G190*H190</f>
        <v>1153905.883</v>
      </c>
      <c r="J190" s="37" t="n">
        <f aca="false">G190-I190</f>
        <v>1354585.167</v>
      </c>
    </row>
    <row r="191" customFormat="false" ht="15" hidden="false" customHeight="true" outlineLevel="0" collapsed="false">
      <c r="A191" s="39" t="n">
        <v>45748</v>
      </c>
      <c r="B191" s="24" t="s">
        <v>87</v>
      </c>
      <c r="C191" s="24" t="s">
        <v>71</v>
      </c>
      <c r="D191" s="24" t="s">
        <v>44</v>
      </c>
      <c r="E191" s="40" t="n">
        <v>346</v>
      </c>
      <c r="F191" s="25" t="n">
        <v>6335.47</v>
      </c>
      <c r="G191" s="41" t="n">
        <f aca="false">E191*F191</f>
        <v>2192072.62</v>
      </c>
      <c r="H191" s="42" t="n">
        <f aca="false">IFERROR(xlookup(D191,'Lookup Reference'!$A$4:$A$6,'Lookup Reference'!$C$4:$C$6),INDEX('Lookup Reference'!$C$4:$C$6,MATCH(D191,'Lookup Reference'!$A$4:$A$6,0)))</f>
        <v>0.52</v>
      </c>
      <c r="I191" s="41" t="n">
        <f aca="false">G191*H191</f>
        <v>1139877.7624</v>
      </c>
      <c r="J191" s="41" t="n">
        <f aca="false">G191-I191</f>
        <v>1052194.8576</v>
      </c>
    </row>
    <row r="192" customFormat="false" ht="15" hidden="false" customHeight="true" outlineLevel="0" collapsed="false">
      <c r="A192" s="35" t="n">
        <v>45748</v>
      </c>
      <c r="B192" s="8" t="s">
        <v>87</v>
      </c>
      <c r="C192" s="8" t="s">
        <v>71</v>
      </c>
      <c r="D192" s="8" t="s">
        <v>45</v>
      </c>
      <c r="E192" s="36" t="n">
        <v>486</v>
      </c>
      <c r="F192" s="21" t="n">
        <v>2283.41</v>
      </c>
      <c r="G192" s="37" t="n">
        <f aca="false">E192*F192</f>
        <v>1109737.26</v>
      </c>
      <c r="H192" s="38" t="n">
        <f aca="false">IFERROR(xlookup(D192,'Lookup Reference'!$A$4:$A$6,'Lookup Reference'!$C$4:$C$6),INDEX('Lookup Reference'!$C$4:$C$6,MATCH(D192,'Lookup Reference'!$A$4:$A$6,0)))</f>
        <v>0.38</v>
      </c>
      <c r="I192" s="37" t="n">
        <f aca="false">G192*H192</f>
        <v>421700.1588</v>
      </c>
      <c r="J192" s="37" t="n">
        <f aca="false">G192-I192</f>
        <v>688037.1012</v>
      </c>
    </row>
    <row r="193" customFormat="false" ht="15" hidden="false" customHeight="true" outlineLevel="0" collapsed="false">
      <c r="A193" s="39" t="n">
        <v>45748</v>
      </c>
      <c r="B193" s="24" t="s">
        <v>87</v>
      </c>
      <c r="C193" s="24" t="s">
        <v>72</v>
      </c>
      <c r="D193" s="24" t="s">
        <v>43</v>
      </c>
      <c r="E193" s="40" t="n">
        <v>480</v>
      </c>
      <c r="F193" s="25" t="n">
        <v>4162.85</v>
      </c>
      <c r="G193" s="41" t="n">
        <f aca="false">E193*F193</f>
        <v>1998168</v>
      </c>
      <c r="H193" s="42" t="n">
        <f aca="false">IFERROR(xlookup(D193,'Lookup Reference'!$A$4:$A$6,'Lookup Reference'!$C$4:$C$6),INDEX('Lookup Reference'!$C$4:$C$6,MATCH(D193,'Lookup Reference'!$A$4:$A$6,0)))</f>
        <v>0.46</v>
      </c>
      <c r="I193" s="41" t="n">
        <f aca="false">G193*H193</f>
        <v>919157.28</v>
      </c>
      <c r="J193" s="41" t="n">
        <f aca="false">G193-I193</f>
        <v>1079010.72</v>
      </c>
    </row>
    <row r="194" customFormat="false" ht="15" hidden="false" customHeight="true" outlineLevel="0" collapsed="false">
      <c r="A194" s="35" t="n">
        <v>45748</v>
      </c>
      <c r="B194" s="8" t="s">
        <v>87</v>
      </c>
      <c r="C194" s="8" t="s">
        <v>72</v>
      </c>
      <c r="D194" s="8" t="s">
        <v>44</v>
      </c>
      <c r="E194" s="36" t="n">
        <v>327</v>
      </c>
      <c r="F194" s="21" t="n">
        <v>6454.85</v>
      </c>
      <c r="G194" s="37" t="n">
        <f aca="false">E194*F194</f>
        <v>2110735.95</v>
      </c>
      <c r="H194" s="38" t="n">
        <f aca="false">IFERROR(xlookup(D194,'Lookup Reference'!$A$4:$A$6,'Lookup Reference'!$C$4:$C$6),INDEX('Lookup Reference'!$C$4:$C$6,MATCH(D194,'Lookup Reference'!$A$4:$A$6,0)))</f>
        <v>0.52</v>
      </c>
      <c r="I194" s="37" t="n">
        <f aca="false">G194*H194</f>
        <v>1097582.694</v>
      </c>
      <c r="J194" s="37" t="n">
        <f aca="false">G194-I194</f>
        <v>1013153.256</v>
      </c>
    </row>
    <row r="195" customFormat="false" ht="15" hidden="false" customHeight="true" outlineLevel="0" collapsed="false">
      <c r="A195" s="39" t="n">
        <v>45748</v>
      </c>
      <c r="B195" s="24" t="s">
        <v>87</v>
      </c>
      <c r="C195" s="24" t="s">
        <v>72</v>
      </c>
      <c r="D195" s="24" t="s">
        <v>45</v>
      </c>
      <c r="E195" s="40" t="n">
        <v>388</v>
      </c>
      <c r="F195" s="25" t="n">
        <v>2297.73</v>
      </c>
      <c r="G195" s="41" t="n">
        <f aca="false">E195*F195</f>
        <v>891519.24</v>
      </c>
      <c r="H195" s="42" t="n">
        <f aca="false">IFERROR(xlookup(D195,'Lookup Reference'!$A$4:$A$6,'Lookup Reference'!$C$4:$C$6),INDEX('Lookup Reference'!$C$4:$C$6,MATCH(D195,'Lookup Reference'!$A$4:$A$6,0)))</f>
        <v>0.38</v>
      </c>
      <c r="I195" s="41" t="n">
        <f aca="false">G195*H195</f>
        <v>338777.3112</v>
      </c>
      <c r="J195" s="41" t="n">
        <f aca="false">G195-I195</f>
        <v>552741.9288</v>
      </c>
    </row>
    <row r="196" customFormat="false" ht="15" hidden="false" customHeight="true" outlineLevel="0" collapsed="false">
      <c r="A196" s="35" t="n">
        <v>45778</v>
      </c>
      <c r="B196" s="8" t="s">
        <v>88</v>
      </c>
      <c r="C196" s="8" t="s">
        <v>69</v>
      </c>
      <c r="D196" s="8" t="s">
        <v>43</v>
      </c>
      <c r="E196" s="36" t="n">
        <v>563</v>
      </c>
      <c r="F196" s="21" t="n">
        <v>3985.21</v>
      </c>
      <c r="G196" s="37" t="n">
        <f aca="false">E196*F196</f>
        <v>2243673.23</v>
      </c>
      <c r="H196" s="38" t="n">
        <f aca="false">IFERROR(xlookup(D196,'Lookup Reference'!$A$4:$A$6,'Lookup Reference'!$C$4:$C$6),INDEX('Lookup Reference'!$C$4:$C$6,MATCH(D196,'Lookup Reference'!$A$4:$A$6,0)))</f>
        <v>0.46</v>
      </c>
      <c r="I196" s="37" t="n">
        <f aca="false">G196*H196</f>
        <v>1032089.6858</v>
      </c>
      <c r="J196" s="37" t="n">
        <f aca="false">G196-I196</f>
        <v>1211583.5442</v>
      </c>
    </row>
    <row r="197" customFormat="false" ht="15" hidden="false" customHeight="true" outlineLevel="0" collapsed="false">
      <c r="A197" s="39" t="n">
        <v>45778</v>
      </c>
      <c r="B197" s="24" t="s">
        <v>88</v>
      </c>
      <c r="C197" s="24" t="s">
        <v>69</v>
      </c>
      <c r="D197" s="24" t="s">
        <v>44</v>
      </c>
      <c r="E197" s="40" t="n">
        <v>325</v>
      </c>
      <c r="F197" s="25" t="n">
        <v>6517.88</v>
      </c>
      <c r="G197" s="41" t="n">
        <f aca="false">E197*F197</f>
        <v>2118311</v>
      </c>
      <c r="H197" s="42" t="n">
        <f aca="false">IFERROR(xlookup(D197,'Lookup Reference'!$A$4:$A$6,'Lookup Reference'!$C$4:$C$6),INDEX('Lookup Reference'!$C$4:$C$6,MATCH(D197,'Lookup Reference'!$A$4:$A$6,0)))</f>
        <v>0.52</v>
      </c>
      <c r="I197" s="41" t="n">
        <f aca="false">G197*H197</f>
        <v>1101521.72</v>
      </c>
      <c r="J197" s="41" t="n">
        <f aca="false">G197-I197</f>
        <v>1016789.28</v>
      </c>
    </row>
    <row r="198" customFormat="false" ht="15" hidden="false" customHeight="true" outlineLevel="0" collapsed="false">
      <c r="A198" s="35" t="n">
        <v>45778</v>
      </c>
      <c r="B198" s="8" t="s">
        <v>88</v>
      </c>
      <c r="C198" s="8" t="s">
        <v>69</v>
      </c>
      <c r="D198" s="8" t="s">
        <v>45</v>
      </c>
      <c r="E198" s="36" t="n">
        <v>516</v>
      </c>
      <c r="F198" s="21" t="n">
        <v>2347.39</v>
      </c>
      <c r="G198" s="37" t="n">
        <f aca="false">E198*F198</f>
        <v>1211253.24</v>
      </c>
      <c r="H198" s="38" t="n">
        <f aca="false">IFERROR(xlookup(D198,'Lookup Reference'!$A$4:$A$6,'Lookup Reference'!$C$4:$C$6),INDEX('Lookup Reference'!$C$4:$C$6,MATCH(D198,'Lookup Reference'!$A$4:$A$6,0)))</f>
        <v>0.38</v>
      </c>
      <c r="I198" s="37" t="n">
        <f aca="false">G198*H198</f>
        <v>460276.2312</v>
      </c>
      <c r="J198" s="37" t="n">
        <f aca="false">G198-I198</f>
        <v>750977.0088</v>
      </c>
    </row>
    <row r="199" customFormat="false" ht="15" hidden="false" customHeight="true" outlineLevel="0" collapsed="false">
      <c r="A199" s="39" t="n">
        <v>45778</v>
      </c>
      <c r="B199" s="24" t="s">
        <v>88</v>
      </c>
      <c r="C199" s="24" t="s">
        <v>70</v>
      </c>
      <c r="D199" s="24" t="s">
        <v>43</v>
      </c>
      <c r="E199" s="40" t="n">
        <v>556</v>
      </c>
      <c r="F199" s="25" t="n">
        <v>4088.36</v>
      </c>
      <c r="G199" s="41" t="n">
        <f aca="false">E199*F199</f>
        <v>2273128.16</v>
      </c>
      <c r="H199" s="42" t="n">
        <f aca="false">IFERROR(xlookup(D199,'Lookup Reference'!$A$4:$A$6,'Lookup Reference'!$C$4:$C$6),INDEX('Lookup Reference'!$C$4:$C$6,MATCH(D199,'Lookup Reference'!$A$4:$A$6,0)))</f>
        <v>0.46</v>
      </c>
      <c r="I199" s="41" t="n">
        <f aca="false">G199*H199</f>
        <v>1045638.9536</v>
      </c>
      <c r="J199" s="41" t="n">
        <f aca="false">G199-I199</f>
        <v>1227489.2064</v>
      </c>
    </row>
    <row r="200" customFormat="false" ht="15" hidden="false" customHeight="true" outlineLevel="0" collapsed="false">
      <c r="A200" s="35" t="n">
        <v>45778</v>
      </c>
      <c r="B200" s="8" t="s">
        <v>88</v>
      </c>
      <c r="C200" s="8" t="s">
        <v>70</v>
      </c>
      <c r="D200" s="8" t="s">
        <v>44</v>
      </c>
      <c r="E200" s="36" t="n">
        <v>299</v>
      </c>
      <c r="F200" s="21" t="n">
        <v>6583.77</v>
      </c>
      <c r="G200" s="37" t="n">
        <f aca="false">E200*F200</f>
        <v>1968547.23</v>
      </c>
      <c r="H200" s="38" t="n">
        <f aca="false">IFERROR(xlookup(D200,'Lookup Reference'!$A$4:$A$6,'Lookup Reference'!$C$4:$C$6),INDEX('Lookup Reference'!$C$4:$C$6,MATCH(D200,'Lookup Reference'!$A$4:$A$6,0)))</f>
        <v>0.52</v>
      </c>
      <c r="I200" s="37" t="n">
        <f aca="false">G200*H200</f>
        <v>1023644.5596</v>
      </c>
      <c r="J200" s="37" t="n">
        <f aca="false">G200-I200</f>
        <v>944902.6704</v>
      </c>
    </row>
    <row r="201" customFormat="false" ht="15" hidden="false" customHeight="true" outlineLevel="0" collapsed="false">
      <c r="A201" s="39" t="n">
        <v>45778</v>
      </c>
      <c r="B201" s="24" t="s">
        <v>88</v>
      </c>
      <c r="C201" s="24" t="s">
        <v>70</v>
      </c>
      <c r="D201" s="24" t="s">
        <v>45</v>
      </c>
      <c r="E201" s="40" t="n">
        <v>361</v>
      </c>
      <c r="F201" s="25" t="n">
        <v>2275.76</v>
      </c>
      <c r="G201" s="41" t="n">
        <f aca="false">E201*F201</f>
        <v>821549.36</v>
      </c>
      <c r="H201" s="42" t="n">
        <f aca="false">IFERROR(xlookup(D201,'Lookup Reference'!$A$4:$A$6,'Lookup Reference'!$C$4:$C$6),INDEX('Lookup Reference'!$C$4:$C$6,MATCH(D201,'Lookup Reference'!$A$4:$A$6,0)))</f>
        <v>0.38</v>
      </c>
      <c r="I201" s="41" t="n">
        <f aca="false">G201*H201</f>
        <v>312188.7568</v>
      </c>
      <c r="J201" s="41" t="n">
        <f aca="false">G201-I201</f>
        <v>509360.6032</v>
      </c>
    </row>
    <row r="202" customFormat="false" ht="15" hidden="false" customHeight="true" outlineLevel="0" collapsed="false">
      <c r="A202" s="35" t="n">
        <v>45778</v>
      </c>
      <c r="B202" s="8" t="s">
        <v>88</v>
      </c>
      <c r="C202" s="8" t="s">
        <v>71</v>
      </c>
      <c r="D202" s="8" t="s">
        <v>43</v>
      </c>
      <c r="E202" s="36" t="n">
        <v>603</v>
      </c>
      <c r="F202" s="21" t="n">
        <v>4076.89</v>
      </c>
      <c r="G202" s="37" t="n">
        <f aca="false">E202*F202</f>
        <v>2458364.67</v>
      </c>
      <c r="H202" s="38" t="n">
        <f aca="false">IFERROR(xlookup(D202,'Lookup Reference'!$A$4:$A$6,'Lookup Reference'!$C$4:$C$6),INDEX('Lookup Reference'!$C$4:$C$6,MATCH(D202,'Lookup Reference'!$A$4:$A$6,0)))</f>
        <v>0.46</v>
      </c>
      <c r="I202" s="37" t="n">
        <f aca="false">G202*H202</f>
        <v>1130847.7482</v>
      </c>
      <c r="J202" s="37" t="n">
        <f aca="false">G202-I202</f>
        <v>1327516.9218</v>
      </c>
    </row>
    <row r="203" customFormat="false" ht="15" hidden="false" customHeight="true" outlineLevel="0" collapsed="false">
      <c r="A203" s="39" t="n">
        <v>45778</v>
      </c>
      <c r="B203" s="24" t="s">
        <v>88</v>
      </c>
      <c r="C203" s="24" t="s">
        <v>71</v>
      </c>
      <c r="D203" s="24" t="s">
        <v>44</v>
      </c>
      <c r="E203" s="40" t="n">
        <v>394</v>
      </c>
      <c r="F203" s="25" t="n">
        <v>6540.79</v>
      </c>
      <c r="G203" s="41" t="n">
        <f aca="false">E203*F203</f>
        <v>2577071.26</v>
      </c>
      <c r="H203" s="42" t="n">
        <f aca="false">IFERROR(xlookup(D203,'Lookup Reference'!$A$4:$A$6,'Lookup Reference'!$C$4:$C$6),INDEX('Lookup Reference'!$C$4:$C$6,MATCH(D203,'Lookup Reference'!$A$4:$A$6,0)))</f>
        <v>0.52</v>
      </c>
      <c r="I203" s="41" t="n">
        <f aca="false">G203*H203</f>
        <v>1340077.0552</v>
      </c>
      <c r="J203" s="41" t="n">
        <f aca="false">G203-I203</f>
        <v>1236994.2048</v>
      </c>
    </row>
    <row r="204" customFormat="false" ht="15" hidden="false" customHeight="true" outlineLevel="0" collapsed="false">
      <c r="A204" s="35" t="n">
        <v>45778</v>
      </c>
      <c r="B204" s="8" t="s">
        <v>88</v>
      </c>
      <c r="C204" s="8" t="s">
        <v>71</v>
      </c>
      <c r="D204" s="8" t="s">
        <v>45</v>
      </c>
      <c r="E204" s="36" t="n">
        <v>490</v>
      </c>
      <c r="F204" s="21" t="n">
        <v>2262.39</v>
      </c>
      <c r="G204" s="37" t="n">
        <f aca="false">E204*F204</f>
        <v>1108571.1</v>
      </c>
      <c r="H204" s="38" t="n">
        <f aca="false">IFERROR(xlookup(D204,'Lookup Reference'!$A$4:$A$6,'Lookup Reference'!$C$4:$C$6),INDEX('Lookup Reference'!$C$4:$C$6,MATCH(D204,'Lookup Reference'!$A$4:$A$6,0)))</f>
        <v>0.38</v>
      </c>
      <c r="I204" s="37" t="n">
        <f aca="false">G204*H204</f>
        <v>421257.018</v>
      </c>
      <c r="J204" s="37" t="n">
        <f aca="false">G204-I204</f>
        <v>687314.082</v>
      </c>
    </row>
    <row r="205" customFormat="false" ht="15" hidden="false" customHeight="true" outlineLevel="0" collapsed="false">
      <c r="A205" s="39" t="n">
        <v>45778</v>
      </c>
      <c r="B205" s="24" t="s">
        <v>88</v>
      </c>
      <c r="C205" s="24" t="s">
        <v>72</v>
      </c>
      <c r="D205" s="24" t="s">
        <v>43</v>
      </c>
      <c r="E205" s="40" t="n">
        <v>530</v>
      </c>
      <c r="F205" s="25" t="n">
        <v>4180.03</v>
      </c>
      <c r="G205" s="41" t="n">
        <f aca="false">E205*F205</f>
        <v>2215415.9</v>
      </c>
      <c r="H205" s="42" t="n">
        <f aca="false">IFERROR(xlookup(D205,'Lookup Reference'!$A$4:$A$6,'Lookup Reference'!$C$4:$C$6),INDEX('Lookup Reference'!$C$4:$C$6,MATCH(D205,'Lookup Reference'!$A$4:$A$6,0)))</f>
        <v>0.46</v>
      </c>
      <c r="I205" s="41" t="n">
        <f aca="false">G205*H205</f>
        <v>1019091.314</v>
      </c>
      <c r="J205" s="41" t="n">
        <f aca="false">G205-I205</f>
        <v>1196324.586</v>
      </c>
    </row>
    <row r="206" customFormat="false" ht="15" hidden="false" customHeight="true" outlineLevel="0" collapsed="false">
      <c r="A206" s="35" t="n">
        <v>45778</v>
      </c>
      <c r="B206" s="8" t="s">
        <v>88</v>
      </c>
      <c r="C206" s="8" t="s">
        <v>72</v>
      </c>
      <c r="D206" s="8" t="s">
        <v>44</v>
      </c>
      <c r="E206" s="36" t="n">
        <v>354</v>
      </c>
      <c r="F206" s="21" t="n">
        <v>6387.04</v>
      </c>
      <c r="G206" s="37" t="n">
        <f aca="false">E206*F206</f>
        <v>2261012.16</v>
      </c>
      <c r="H206" s="38" t="n">
        <f aca="false">IFERROR(xlookup(D206,'Lookup Reference'!$A$4:$A$6,'Lookup Reference'!$C$4:$C$6),INDEX('Lookup Reference'!$C$4:$C$6,MATCH(D206,'Lookup Reference'!$A$4:$A$6,0)))</f>
        <v>0.52</v>
      </c>
      <c r="I206" s="37" t="n">
        <f aca="false">G206*H206</f>
        <v>1175726.3232</v>
      </c>
      <c r="J206" s="37" t="n">
        <f aca="false">G206-I206</f>
        <v>1085285.8368</v>
      </c>
    </row>
    <row r="207" customFormat="false" ht="15" hidden="false" customHeight="true" outlineLevel="0" collapsed="false">
      <c r="A207" s="39" t="n">
        <v>45778</v>
      </c>
      <c r="B207" s="24" t="s">
        <v>88</v>
      </c>
      <c r="C207" s="24" t="s">
        <v>72</v>
      </c>
      <c r="D207" s="24" t="s">
        <v>45</v>
      </c>
      <c r="E207" s="40" t="n">
        <v>389</v>
      </c>
      <c r="F207" s="25" t="n">
        <v>2317.78</v>
      </c>
      <c r="G207" s="41" t="n">
        <f aca="false">E207*F207</f>
        <v>901616.42</v>
      </c>
      <c r="H207" s="42" t="n">
        <f aca="false">IFERROR(xlookup(D207,'Lookup Reference'!$A$4:$A$6,'Lookup Reference'!$C$4:$C$6),INDEX('Lookup Reference'!$C$4:$C$6,MATCH(D207,'Lookup Reference'!$A$4:$A$6,0)))</f>
        <v>0.38</v>
      </c>
      <c r="I207" s="41" t="n">
        <f aca="false">G207*H207</f>
        <v>342614.2396</v>
      </c>
      <c r="J207" s="41" t="n">
        <f aca="false">G207-I207</f>
        <v>559002.1804</v>
      </c>
    </row>
    <row r="208" customFormat="false" ht="15" hidden="false" customHeight="true" outlineLevel="0" collapsed="false">
      <c r="A208" s="35" t="n">
        <v>45809</v>
      </c>
      <c r="B208" s="8" t="s">
        <v>89</v>
      </c>
      <c r="C208" s="8" t="s">
        <v>69</v>
      </c>
      <c r="D208" s="8" t="s">
        <v>43</v>
      </c>
      <c r="E208" s="36" t="n">
        <v>631</v>
      </c>
      <c r="F208" s="21" t="n">
        <v>3998.58</v>
      </c>
      <c r="G208" s="37" t="n">
        <f aca="false">E208*F208</f>
        <v>2523103.98</v>
      </c>
      <c r="H208" s="38" t="n">
        <f aca="false">IFERROR(xlookup(D208,'Lookup Reference'!$A$4:$A$6,'Lookup Reference'!$C$4:$C$6),INDEX('Lookup Reference'!$C$4:$C$6,MATCH(D208,'Lookup Reference'!$A$4:$A$6,0)))</f>
        <v>0.46</v>
      </c>
      <c r="I208" s="37" t="n">
        <f aca="false">G208*H208</f>
        <v>1160627.8308</v>
      </c>
      <c r="J208" s="37" t="n">
        <f aca="false">G208-I208</f>
        <v>1362476.1492</v>
      </c>
    </row>
    <row r="209" customFormat="false" ht="15" hidden="false" customHeight="true" outlineLevel="0" collapsed="false">
      <c r="A209" s="39" t="n">
        <v>45809</v>
      </c>
      <c r="B209" s="24" t="s">
        <v>89</v>
      </c>
      <c r="C209" s="24" t="s">
        <v>69</v>
      </c>
      <c r="D209" s="24" t="s">
        <v>44</v>
      </c>
      <c r="E209" s="40" t="n">
        <v>407</v>
      </c>
      <c r="F209" s="25" t="n">
        <v>6689.77</v>
      </c>
      <c r="G209" s="41" t="n">
        <f aca="false">E209*F209</f>
        <v>2722736.39</v>
      </c>
      <c r="H209" s="42" t="n">
        <f aca="false">IFERROR(xlookup(D209,'Lookup Reference'!$A$4:$A$6,'Lookup Reference'!$C$4:$C$6),INDEX('Lookup Reference'!$C$4:$C$6,MATCH(D209,'Lookup Reference'!$A$4:$A$6,0)))</f>
        <v>0.52</v>
      </c>
      <c r="I209" s="41" t="n">
        <f aca="false">G209*H209</f>
        <v>1415822.9228</v>
      </c>
      <c r="J209" s="41" t="n">
        <f aca="false">G209-I209</f>
        <v>1306913.4672</v>
      </c>
    </row>
    <row r="210" customFormat="false" ht="15" hidden="false" customHeight="true" outlineLevel="0" collapsed="false">
      <c r="A210" s="35" t="n">
        <v>45809</v>
      </c>
      <c r="B210" s="8" t="s">
        <v>89</v>
      </c>
      <c r="C210" s="8" t="s">
        <v>69</v>
      </c>
      <c r="D210" s="8" t="s">
        <v>45</v>
      </c>
      <c r="E210" s="36" t="n">
        <v>515</v>
      </c>
      <c r="F210" s="21" t="n">
        <v>2264.31</v>
      </c>
      <c r="G210" s="37" t="n">
        <f aca="false">E210*F210</f>
        <v>1166119.65</v>
      </c>
      <c r="H210" s="38" t="n">
        <f aca="false">IFERROR(xlookup(D210,'Lookup Reference'!$A$4:$A$6,'Lookup Reference'!$C$4:$C$6),INDEX('Lookup Reference'!$C$4:$C$6,MATCH(D210,'Lookup Reference'!$A$4:$A$6,0)))</f>
        <v>0.38</v>
      </c>
      <c r="I210" s="37" t="n">
        <f aca="false">G210*H210</f>
        <v>443125.467</v>
      </c>
      <c r="J210" s="37" t="n">
        <f aca="false">G210-I210</f>
        <v>722994.183</v>
      </c>
    </row>
    <row r="211" customFormat="false" ht="15" hidden="false" customHeight="true" outlineLevel="0" collapsed="false">
      <c r="A211" s="39" t="n">
        <v>45809</v>
      </c>
      <c r="B211" s="24" t="s">
        <v>89</v>
      </c>
      <c r="C211" s="24" t="s">
        <v>70</v>
      </c>
      <c r="D211" s="24" t="s">
        <v>43</v>
      </c>
      <c r="E211" s="40" t="n">
        <v>499</v>
      </c>
      <c r="F211" s="25" t="n">
        <v>3898.31</v>
      </c>
      <c r="G211" s="41" t="n">
        <f aca="false">E211*F211</f>
        <v>1945256.69</v>
      </c>
      <c r="H211" s="42" t="n">
        <f aca="false">IFERROR(xlookup(D211,'Lookup Reference'!$A$4:$A$6,'Lookup Reference'!$C$4:$C$6),INDEX('Lookup Reference'!$C$4:$C$6,MATCH(D211,'Lookup Reference'!$A$4:$A$6,0)))</f>
        <v>0.46</v>
      </c>
      <c r="I211" s="41" t="n">
        <f aca="false">G211*H211</f>
        <v>894818.0774</v>
      </c>
      <c r="J211" s="41" t="n">
        <f aca="false">G211-I211</f>
        <v>1050438.6126</v>
      </c>
    </row>
    <row r="212" customFormat="false" ht="15" hidden="false" customHeight="true" outlineLevel="0" collapsed="false">
      <c r="A212" s="35" t="n">
        <v>45809</v>
      </c>
      <c r="B212" s="8" t="s">
        <v>89</v>
      </c>
      <c r="C212" s="8" t="s">
        <v>70</v>
      </c>
      <c r="D212" s="8" t="s">
        <v>44</v>
      </c>
      <c r="E212" s="36" t="n">
        <v>312</v>
      </c>
      <c r="F212" s="21" t="n">
        <v>6545.57</v>
      </c>
      <c r="G212" s="37" t="n">
        <f aca="false">E212*F212</f>
        <v>2042217.84</v>
      </c>
      <c r="H212" s="38" t="n">
        <f aca="false">IFERROR(xlookup(D212,'Lookup Reference'!$A$4:$A$6,'Lookup Reference'!$C$4:$C$6),INDEX('Lookup Reference'!$C$4:$C$6,MATCH(D212,'Lookup Reference'!$A$4:$A$6,0)))</f>
        <v>0.52</v>
      </c>
      <c r="I212" s="37" t="n">
        <f aca="false">G212*H212</f>
        <v>1061953.2768</v>
      </c>
      <c r="J212" s="37" t="n">
        <f aca="false">G212-I212</f>
        <v>980264.5632</v>
      </c>
    </row>
    <row r="213" customFormat="false" ht="15" hidden="false" customHeight="true" outlineLevel="0" collapsed="false">
      <c r="A213" s="39" t="n">
        <v>45809</v>
      </c>
      <c r="B213" s="24" t="s">
        <v>89</v>
      </c>
      <c r="C213" s="24" t="s">
        <v>70</v>
      </c>
      <c r="D213" s="24" t="s">
        <v>45</v>
      </c>
      <c r="E213" s="40" t="n">
        <v>472</v>
      </c>
      <c r="F213" s="25" t="n">
        <v>2236.61</v>
      </c>
      <c r="G213" s="41" t="n">
        <f aca="false">E213*F213</f>
        <v>1055679.92</v>
      </c>
      <c r="H213" s="42" t="n">
        <f aca="false">IFERROR(xlookup(D213,'Lookup Reference'!$A$4:$A$6,'Lookup Reference'!$C$4:$C$6),INDEX('Lookup Reference'!$C$4:$C$6,MATCH(D213,'Lookup Reference'!$A$4:$A$6,0)))</f>
        <v>0.38</v>
      </c>
      <c r="I213" s="41" t="n">
        <f aca="false">G213*H213</f>
        <v>401158.3696</v>
      </c>
      <c r="J213" s="41" t="n">
        <f aca="false">G213-I213</f>
        <v>654521.5504</v>
      </c>
    </row>
    <row r="214" customFormat="false" ht="15" hidden="false" customHeight="true" outlineLevel="0" collapsed="false">
      <c r="A214" s="35" t="n">
        <v>45809</v>
      </c>
      <c r="B214" s="8" t="s">
        <v>89</v>
      </c>
      <c r="C214" s="8" t="s">
        <v>71</v>
      </c>
      <c r="D214" s="8" t="s">
        <v>43</v>
      </c>
      <c r="E214" s="36" t="n">
        <v>637</v>
      </c>
      <c r="F214" s="21" t="n">
        <v>4093.13</v>
      </c>
      <c r="G214" s="37" t="n">
        <f aca="false">E214*F214</f>
        <v>2607323.81</v>
      </c>
      <c r="H214" s="38" t="n">
        <f aca="false">IFERROR(xlookup(D214,'Lookup Reference'!$A$4:$A$6,'Lookup Reference'!$C$4:$C$6),INDEX('Lookup Reference'!$C$4:$C$6,MATCH(D214,'Lookup Reference'!$A$4:$A$6,0)))</f>
        <v>0.46</v>
      </c>
      <c r="I214" s="37" t="n">
        <f aca="false">G214*H214</f>
        <v>1199368.9526</v>
      </c>
      <c r="J214" s="37" t="n">
        <f aca="false">G214-I214</f>
        <v>1407954.8574</v>
      </c>
    </row>
    <row r="215" customFormat="false" ht="15" hidden="false" customHeight="true" outlineLevel="0" collapsed="false">
      <c r="A215" s="39" t="n">
        <v>45809</v>
      </c>
      <c r="B215" s="24" t="s">
        <v>89</v>
      </c>
      <c r="C215" s="24" t="s">
        <v>71</v>
      </c>
      <c r="D215" s="24" t="s">
        <v>44</v>
      </c>
      <c r="E215" s="40" t="n">
        <v>373</v>
      </c>
      <c r="F215" s="25" t="n">
        <v>6661.12</v>
      </c>
      <c r="G215" s="41" t="n">
        <f aca="false">E215*F215</f>
        <v>2484597.76</v>
      </c>
      <c r="H215" s="42" t="n">
        <f aca="false">IFERROR(xlookup(D215,'Lookup Reference'!$A$4:$A$6,'Lookup Reference'!$C$4:$C$6),INDEX('Lookup Reference'!$C$4:$C$6,MATCH(D215,'Lookup Reference'!$A$4:$A$6,0)))</f>
        <v>0.52</v>
      </c>
      <c r="I215" s="41" t="n">
        <f aca="false">G215*H215</f>
        <v>1291990.8352</v>
      </c>
      <c r="J215" s="41" t="n">
        <f aca="false">G215-I215</f>
        <v>1192606.9248</v>
      </c>
    </row>
    <row r="216" customFormat="false" ht="15" hidden="false" customHeight="true" outlineLevel="0" collapsed="false">
      <c r="A216" s="35" t="n">
        <v>45809</v>
      </c>
      <c r="B216" s="8" t="s">
        <v>89</v>
      </c>
      <c r="C216" s="8" t="s">
        <v>71</v>
      </c>
      <c r="D216" s="8" t="s">
        <v>45</v>
      </c>
      <c r="E216" s="36" t="n">
        <v>526</v>
      </c>
      <c r="F216" s="21" t="n">
        <v>2268.12</v>
      </c>
      <c r="G216" s="37" t="n">
        <f aca="false">E216*F216</f>
        <v>1193031.12</v>
      </c>
      <c r="H216" s="38" t="n">
        <f aca="false">IFERROR(xlookup(D216,'Lookup Reference'!$A$4:$A$6,'Lookup Reference'!$C$4:$C$6),INDEX('Lookup Reference'!$C$4:$C$6,MATCH(D216,'Lookup Reference'!$A$4:$A$6,0)))</f>
        <v>0.38</v>
      </c>
      <c r="I216" s="37" t="n">
        <f aca="false">G216*H216</f>
        <v>453351.8256</v>
      </c>
      <c r="J216" s="37" t="n">
        <f aca="false">G216-I216</f>
        <v>739679.2944</v>
      </c>
    </row>
    <row r="217" customFormat="false" ht="15" hidden="false" customHeight="true" outlineLevel="0" collapsed="false">
      <c r="A217" s="39" t="n">
        <v>45809</v>
      </c>
      <c r="B217" s="24" t="s">
        <v>89</v>
      </c>
      <c r="C217" s="24" t="s">
        <v>72</v>
      </c>
      <c r="D217" s="24" t="s">
        <v>43</v>
      </c>
      <c r="E217" s="40" t="n">
        <v>587</v>
      </c>
      <c r="F217" s="25" t="n">
        <v>3892.58</v>
      </c>
      <c r="G217" s="41" t="n">
        <f aca="false">E217*F217</f>
        <v>2284944.46</v>
      </c>
      <c r="H217" s="42" t="n">
        <f aca="false">IFERROR(xlookup(D217,'Lookup Reference'!$A$4:$A$6,'Lookup Reference'!$C$4:$C$6),INDEX('Lookup Reference'!$C$4:$C$6,MATCH(D217,'Lookup Reference'!$A$4:$A$6,0)))</f>
        <v>0.46</v>
      </c>
      <c r="I217" s="41" t="n">
        <f aca="false">G217*H217</f>
        <v>1051074.4516</v>
      </c>
      <c r="J217" s="41" t="n">
        <f aca="false">G217-I217</f>
        <v>1233870.0084</v>
      </c>
    </row>
    <row r="218" customFormat="false" ht="15" hidden="false" customHeight="true" outlineLevel="0" collapsed="false">
      <c r="A218" s="35" t="n">
        <v>45809</v>
      </c>
      <c r="B218" s="8" t="s">
        <v>89</v>
      </c>
      <c r="C218" s="8" t="s">
        <v>72</v>
      </c>
      <c r="D218" s="8" t="s">
        <v>44</v>
      </c>
      <c r="E218" s="36" t="n">
        <v>371</v>
      </c>
      <c r="F218" s="21" t="n">
        <v>6699.33</v>
      </c>
      <c r="G218" s="37" t="n">
        <f aca="false">E218*F218</f>
        <v>2485451.43</v>
      </c>
      <c r="H218" s="38" t="n">
        <f aca="false">IFERROR(xlookup(D218,'Lookup Reference'!$A$4:$A$6,'Lookup Reference'!$C$4:$C$6),INDEX('Lookup Reference'!$C$4:$C$6,MATCH(D218,'Lookup Reference'!$A$4:$A$6,0)))</f>
        <v>0.52</v>
      </c>
      <c r="I218" s="37" t="n">
        <f aca="false">G218*H218</f>
        <v>1292434.7436</v>
      </c>
      <c r="J218" s="37" t="n">
        <f aca="false">G218-I218</f>
        <v>1193016.6864</v>
      </c>
    </row>
    <row r="219" customFormat="false" ht="15" hidden="false" customHeight="true" outlineLevel="0" collapsed="false">
      <c r="A219" s="39" t="n">
        <v>45809</v>
      </c>
      <c r="B219" s="24" t="s">
        <v>89</v>
      </c>
      <c r="C219" s="24" t="s">
        <v>72</v>
      </c>
      <c r="D219" s="24" t="s">
        <v>45</v>
      </c>
      <c r="E219" s="40" t="n">
        <v>415</v>
      </c>
      <c r="F219" s="25" t="n">
        <v>2301.55</v>
      </c>
      <c r="G219" s="41" t="n">
        <f aca="false">E219*F219</f>
        <v>955143.25</v>
      </c>
      <c r="H219" s="42" t="n">
        <f aca="false">IFERROR(xlookup(D219,'Lookup Reference'!$A$4:$A$6,'Lookup Reference'!$C$4:$C$6),INDEX('Lookup Reference'!$C$4:$C$6,MATCH(D219,'Lookup Reference'!$A$4:$A$6,0)))</f>
        <v>0.38</v>
      </c>
      <c r="I219" s="41" t="n">
        <f aca="false">G219*H219</f>
        <v>362954.435</v>
      </c>
      <c r="J219" s="41" t="n">
        <f aca="false">G219-I219</f>
        <v>592188.815</v>
      </c>
    </row>
    <row r="220" customFormat="false" ht="15" hidden="false" customHeight="true" outlineLevel="0" collapsed="false">
      <c r="A220" s="35" t="n">
        <v>45839</v>
      </c>
      <c r="B220" s="8" t="s">
        <v>90</v>
      </c>
      <c r="C220" s="8" t="s">
        <v>69</v>
      </c>
      <c r="D220" s="8" t="s">
        <v>43</v>
      </c>
      <c r="E220" s="36" t="n">
        <v>560</v>
      </c>
      <c r="F220" s="21" t="n">
        <v>4198.18</v>
      </c>
      <c r="G220" s="37" t="n">
        <f aca="false">E220*F220</f>
        <v>2350980.8</v>
      </c>
      <c r="H220" s="38" t="n">
        <f aca="false">IFERROR(xlookup(D220,'Lookup Reference'!$A$4:$A$6,'Lookup Reference'!$C$4:$C$6),INDEX('Lookup Reference'!$C$4:$C$6,MATCH(D220,'Lookup Reference'!$A$4:$A$6,0)))</f>
        <v>0.46</v>
      </c>
      <c r="I220" s="37" t="n">
        <f aca="false">G220*H220</f>
        <v>1081451.168</v>
      </c>
      <c r="J220" s="37" t="n">
        <f aca="false">G220-I220</f>
        <v>1269529.632</v>
      </c>
    </row>
    <row r="221" customFormat="false" ht="15" hidden="false" customHeight="true" outlineLevel="0" collapsed="false">
      <c r="A221" s="39" t="n">
        <v>45839</v>
      </c>
      <c r="B221" s="24" t="s">
        <v>90</v>
      </c>
      <c r="C221" s="24" t="s">
        <v>69</v>
      </c>
      <c r="D221" s="24" t="s">
        <v>44</v>
      </c>
      <c r="E221" s="40" t="n">
        <v>378</v>
      </c>
      <c r="F221" s="25" t="n">
        <v>6324.97</v>
      </c>
      <c r="G221" s="41" t="n">
        <f aca="false">E221*F221</f>
        <v>2390838.66</v>
      </c>
      <c r="H221" s="42" t="n">
        <f aca="false">IFERROR(xlookup(D221,'Lookup Reference'!$A$4:$A$6,'Lookup Reference'!$C$4:$C$6),INDEX('Lookup Reference'!$C$4:$C$6,MATCH(D221,'Lookup Reference'!$A$4:$A$6,0)))</f>
        <v>0.52</v>
      </c>
      <c r="I221" s="41" t="n">
        <f aca="false">G221*H221</f>
        <v>1243236.1032</v>
      </c>
      <c r="J221" s="41" t="n">
        <f aca="false">G221-I221</f>
        <v>1147602.5568</v>
      </c>
    </row>
    <row r="222" customFormat="false" ht="15" hidden="false" customHeight="true" outlineLevel="0" collapsed="false">
      <c r="A222" s="35" t="n">
        <v>45839</v>
      </c>
      <c r="B222" s="8" t="s">
        <v>90</v>
      </c>
      <c r="C222" s="8" t="s">
        <v>69</v>
      </c>
      <c r="D222" s="8" t="s">
        <v>45</v>
      </c>
      <c r="E222" s="36" t="n">
        <v>462</v>
      </c>
      <c r="F222" s="21" t="n">
        <v>2378.91</v>
      </c>
      <c r="G222" s="37" t="n">
        <f aca="false">E222*F222</f>
        <v>1099056.42</v>
      </c>
      <c r="H222" s="38" t="n">
        <f aca="false">IFERROR(xlookup(D222,'Lookup Reference'!$A$4:$A$6,'Lookup Reference'!$C$4:$C$6),INDEX('Lookup Reference'!$C$4:$C$6,MATCH(D222,'Lookup Reference'!$A$4:$A$6,0)))</f>
        <v>0.38</v>
      </c>
      <c r="I222" s="37" t="n">
        <f aca="false">G222*H222</f>
        <v>417641.4396</v>
      </c>
      <c r="J222" s="37" t="n">
        <f aca="false">G222-I222</f>
        <v>681414.9804</v>
      </c>
    </row>
    <row r="223" customFormat="false" ht="15" hidden="false" customHeight="true" outlineLevel="0" collapsed="false">
      <c r="A223" s="39" t="n">
        <v>45839</v>
      </c>
      <c r="B223" s="24" t="s">
        <v>90</v>
      </c>
      <c r="C223" s="24" t="s">
        <v>70</v>
      </c>
      <c r="D223" s="24" t="s">
        <v>43</v>
      </c>
      <c r="E223" s="40" t="n">
        <v>529</v>
      </c>
      <c r="F223" s="25" t="n">
        <v>4147.56</v>
      </c>
      <c r="G223" s="41" t="n">
        <f aca="false">E223*F223</f>
        <v>2194059.24</v>
      </c>
      <c r="H223" s="42" t="n">
        <f aca="false">IFERROR(xlookup(D223,'Lookup Reference'!$A$4:$A$6,'Lookup Reference'!$C$4:$C$6),INDEX('Lookup Reference'!$C$4:$C$6,MATCH(D223,'Lookup Reference'!$A$4:$A$6,0)))</f>
        <v>0.46</v>
      </c>
      <c r="I223" s="41" t="n">
        <f aca="false">G223*H223</f>
        <v>1009267.2504</v>
      </c>
      <c r="J223" s="41" t="n">
        <f aca="false">G223-I223</f>
        <v>1184791.9896</v>
      </c>
    </row>
    <row r="224" customFormat="false" ht="15" hidden="false" customHeight="true" outlineLevel="0" collapsed="false">
      <c r="A224" s="35" t="n">
        <v>45839</v>
      </c>
      <c r="B224" s="8" t="s">
        <v>90</v>
      </c>
      <c r="C224" s="8" t="s">
        <v>70</v>
      </c>
      <c r="D224" s="8" t="s">
        <v>44</v>
      </c>
      <c r="E224" s="36" t="n">
        <v>344</v>
      </c>
      <c r="F224" s="21" t="n">
        <v>6812.01</v>
      </c>
      <c r="G224" s="37" t="n">
        <f aca="false">E224*F224</f>
        <v>2343331.44</v>
      </c>
      <c r="H224" s="38" t="n">
        <f aca="false">IFERROR(xlookup(D224,'Lookup Reference'!$A$4:$A$6,'Lookup Reference'!$C$4:$C$6),INDEX('Lookup Reference'!$C$4:$C$6,MATCH(D224,'Lookup Reference'!$A$4:$A$6,0)))</f>
        <v>0.52</v>
      </c>
      <c r="I224" s="37" t="n">
        <f aca="false">G224*H224</f>
        <v>1218532.3488</v>
      </c>
      <c r="J224" s="37" t="n">
        <f aca="false">G224-I224</f>
        <v>1124799.0912</v>
      </c>
    </row>
    <row r="225" customFormat="false" ht="15" hidden="false" customHeight="true" outlineLevel="0" collapsed="false">
      <c r="A225" s="39" t="n">
        <v>45839</v>
      </c>
      <c r="B225" s="24" t="s">
        <v>90</v>
      </c>
      <c r="C225" s="24" t="s">
        <v>70</v>
      </c>
      <c r="D225" s="24" t="s">
        <v>45</v>
      </c>
      <c r="E225" s="40" t="n">
        <v>442</v>
      </c>
      <c r="F225" s="25" t="n">
        <v>2397.05</v>
      </c>
      <c r="G225" s="41" t="n">
        <f aca="false">E225*F225</f>
        <v>1059496.1</v>
      </c>
      <c r="H225" s="42" t="n">
        <f aca="false">IFERROR(xlookup(D225,'Lookup Reference'!$A$4:$A$6,'Lookup Reference'!$C$4:$C$6),INDEX('Lookup Reference'!$C$4:$C$6,MATCH(D225,'Lookup Reference'!$A$4:$A$6,0)))</f>
        <v>0.38</v>
      </c>
      <c r="I225" s="41" t="n">
        <f aca="false">G225*H225</f>
        <v>402608.518</v>
      </c>
      <c r="J225" s="41" t="n">
        <f aca="false">G225-I225</f>
        <v>656887.582</v>
      </c>
    </row>
    <row r="226" customFormat="false" ht="15" hidden="false" customHeight="true" outlineLevel="0" collapsed="false">
      <c r="A226" s="35" t="n">
        <v>45839</v>
      </c>
      <c r="B226" s="8" t="s">
        <v>90</v>
      </c>
      <c r="C226" s="8" t="s">
        <v>71</v>
      </c>
      <c r="D226" s="8" t="s">
        <v>43</v>
      </c>
      <c r="E226" s="36" t="n">
        <v>707</v>
      </c>
      <c r="F226" s="21" t="n">
        <v>4087.4</v>
      </c>
      <c r="G226" s="37" t="n">
        <f aca="false">E226*F226</f>
        <v>2889791.8</v>
      </c>
      <c r="H226" s="38" t="n">
        <f aca="false">IFERROR(xlookup(D226,'Lookup Reference'!$A$4:$A$6,'Lookup Reference'!$C$4:$C$6),INDEX('Lookup Reference'!$C$4:$C$6,MATCH(D226,'Lookup Reference'!$A$4:$A$6,0)))</f>
        <v>0.46</v>
      </c>
      <c r="I226" s="37" t="n">
        <f aca="false">G226*H226</f>
        <v>1329304.228</v>
      </c>
      <c r="J226" s="37" t="n">
        <f aca="false">G226-I226</f>
        <v>1560487.572</v>
      </c>
    </row>
    <row r="227" customFormat="false" ht="15" hidden="false" customHeight="true" outlineLevel="0" collapsed="false">
      <c r="A227" s="39" t="n">
        <v>45839</v>
      </c>
      <c r="B227" s="24" t="s">
        <v>90</v>
      </c>
      <c r="C227" s="24" t="s">
        <v>71</v>
      </c>
      <c r="D227" s="24" t="s">
        <v>44</v>
      </c>
      <c r="E227" s="40" t="n">
        <v>421</v>
      </c>
      <c r="F227" s="25" t="n">
        <v>6561.8</v>
      </c>
      <c r="G227" s="41" t="n">
        <f aca="false">E227*F227</f>
        <v>2762517.8</v>
      </c>
      <c r="H227" s="42" t="n">
        <f aca="false">IFERROR(xlookup(D227,'Lookup Reference'!$A$4:$A$6,'Lookup Reference'!$C$4:$C$6),INDEX('Lookup Reference'!$C$4:$C$6,MATCH(D227,'Lookup Reference'!$A$4:$A$6,0)))</f>
        <v>0.52</v>
      </c>
      <c r="I227" s="41" t="n">
        <f aca="false">G227*H227</f>
        <v>1436509.256</v>
      </c>
      <c r="J227" s="41" t="n">
        <f aca="false">G227-I227</f>
        <v>1326008.544</v>
      </c>
    </row>
    <row r="228" customFormat="false" ht="15" hidden="false" customHeight="true" outlineLevel="0" collapsed="false">
      <c r="A228" s="35" t="n">
        <v>45839</v>
      </c>
      <c r="B228" s="8" t="s">
        <v>90</v>
      </c>
      <c r="C228" s="8" t="s">
        <v>71</v>
      </c>
      <c r="D228" s="8" t="s">
        <v>45</v>
      </c>
      <c r="E228" s="36" t="n">
        <v>565</v>
      </c>
      <c r="F228" s="21" t="n">
        <v>2323.51</v>
      </c>
      <c r="G228" s="37" t="n">
        <f aca="false">E228*F228</f>
        <v>1312783.15</v>
      </c>
      <c r="H228" s="38" t="n">
        <f aca="false">IFERROR(xlookup(D228,'Lookup Reference'!$A$4:$A$6,'Lookup Reference'!$C$4:$C$6),INDEX('Lookup Reference'!$C$4:$C$6,MATCH(D228,'Lookup Reference'!$A$4:$A$6,0)))</f>
        <v>0.38</v>
      </c>
      <c r="I228" s="37" t="n">
        <f aca="false">G228*H228</f>
        <v>498857.597</v>
      </c>
      <c r="J228" s="37" t="n">
        <f aca="false">G228-I228</f>
        <v>813925.553</v>
      </c>
    </row>
    <row r="229" customFormat="false" ht="15" hidden="false" customHeight="true" outlineLevel="0" collapsed="false">
      <c r="A229" s="39" t="n">
        <v>45839</v>
      </c>
      <c r="B229" s="24" t="s">
        <v>90</v>
      </c>
      <c r="C229" s="24" t="s">
        <v>72</v>
      </c>
      <c r="D229" s="24" t="s">
        <v>43</v>
      </c>
      <c r="E229" s="40" t="n">
        <v>616</v>
      </c>
      <c r="F229" s="25" t="n">
        <v>4129.42</v>
      </c>
      <c r="G229" s="41" t="n">
        <f aca="false">E229*F229</f>
        <v>2543722.72</v>
      </c>
      <c r="H229" s="42" t="n">
        <f aca="false">IFERROR(xlookup(D229,'Lookup Reference'!$A$4:$A$6,'Lookup Reference'!$C$4:$C$6),INDEX('Lookup Reference'!$C$4:$C$6,MATCH(D229,'Lookup Reference'!$A$4:$A$6,0)))</f>
        <v>0.46</v>
      </c>
      <c r="I229" s="41" t="n">
        <f aca="false">G229*H229</f>
        <v>1170112.4512</v>
      </c>
      <c r="J229" s="41" t="n">
        <f aca="false">G229-I229</f>
        <v>1373610.2688</v>
      </c>
    </row>
    <row r="230" customFormat="false" ht="15" hidden="false" customHeight="true" outlineLevel="0" collapsed="false">
      <c r="A230" s="35" t="n">
        <v>45839</v>
      </c>
      <c r="B230" s="8" t="s">
        <v>90</v>
      </c>
      <c r="C230" s="8" t="s">
        <v>72</v>
      </c>
      <c r="D230" s="8" t="s">
        <v>44</v>
      </c>
      <c r="E230" s="36" t="n">
        <v>346</v>
      </c>
      <c r="F230" s="21" t="n">
        <v>6433.84</v>
      </c>
      <c r="G230" s="37" t="n">
        <f aca="false">E230*F230</f>
        <v>2226108.64</v>
      </c>
      <c r="H230" s="38" t="n">
        <f aca="false">IFERROR(xlookup(D230,'Lookup Reference'!$A$4:$A$6,'Lookup Reference'!$C$4:$C$6),INDEX('Lookup Reference'!$C$4:$C$6,MATCH(D230,'Lookup Reference'!$A$4:$A$6,0)))</f>
        <v>0.52</v>
      </c>
      <c r="I230" s="37" t="n">
        <f aca="false">G230*H230</f>
        <v>1157576.4928</v>
      </c>
      <c r="J230" s="37" t="n">
        <f aca="false">G230-I230</f>
        <v>1068532.1472</v>
      </c>
    </row>
    <row r="231" customFormat="false" ht="15" hidden="false" customHeight="true" outlineLevel="0" collapsed="false">
      <c r="A231" s="39" t="n">
        <v>45839</v>
      </c>
      <c r="B231" s="24" t="s">
        <v>90</v>
      </c>
      <c r="C231" s="24" t="s">
        <v>72</v>
      </c>
      <c r="D231" s="24" t="s">
        <v>45</v>
      </c>
      <c r="E231" s="40" t="n">
        <v>428</v>
      </c>
      <c r="F231" s="25" t="n">
        <v>2339.75</v>
      </c>
      <c r="G231" s="41" t="n">
        <f aca="false">E231*F231</f>
        <v>1001413</v>
      </c>
      <c r="H231" s="42" t="n">
        <f aca="false">IFERROR(xlookup(D231,'Lookup Reference'!$A$4:$A$6,'Lookup Reference'!$C$4:$C$6),INDEX('Lookup Reference'!$C$4:$C$6,MATCH(D231,'Lookup Reference'!$A$4:$A$6,0)))</f>
        <v>0.38</v>
      </c>
      <c r="I231" s="41" t="n">
        <f aca="false">G231*H231</f>
        <v>380536.94</v>
      </c>
      <c r="J231" s="41" t="n">
        <f aca="false">G231-I231</f>
        <v>620876.06</v>
      </c>
    </row>
    <row r="232" customFormat="false" ht="15" hidden="false" customHeight="true" outlineLevel="0" collapsed="false">
      <c r="A232" s="35" t="n">
        <v>45870</v>
      </c>
      <c r="B232" s="8" t="s">
        <v>91</v>
      </c>
      <c r="C232" s="8" t="s">
        <v>69</v>
      </c>
      <c r="D232" s="8" t="s">
        <v>43</v>
      </c>
      <c r="E232" s="36" t="n">
        <v>617</v>
      </c>
      <c r="F232" s="21" t="n">
        <v>4057.8</v>
      </c>
      <c r="G232" s="37" t="n">
        <f aca="false">E232*F232</f>
        <v>2503662.6</v>
      </c>
      <c r="H232" s="38" t="n">
        <f aca="false">IFERROR(xlookup(D232,'Lookup Reference'!$A$4:$A$6,'Lookup Reference'!$C$4:$C$6),INDEX('Lookup Reference'!$C$4:$C$6,MATCH(D232,'Lookup Reference'!$A$4:$A$6,0)))</f>
        <v>0.46</v>
      </c>
      <c r="I232" s="37" t="n">
        <f aca="false">G232*H232</f>
        <v>1151684.796</v>
      </c>
      <c r="J232" s="37" t="n">
        <f aca="false">G232-I232</f>
        <v>1351977.804</v>
      </c>
    </row>
    <row r="233" customFormat="false" ht="15" hidden="false" customHeight="true" outlineLevel="0" collapsed="false">
      <c r="A233" s="39" t="n">
        <v>45870</v>
      </c>
      <c r="B233" s="24" t="s">
        <v>91</v>
      </c>
      <c r="C233" s="24" t="s">
        <v>69</v>
      </c>
      <c r="D233" s="24" t="s">
        <v>44</v>
      </c>
      <c r="E233" s="40" t="n">
        <v>370</v>
      </c>
      <c r="F233" s="25" t="n">
        <v>6441.48</v>
      </c>
      <c r="G233" s="41" t="n">
        <f aca="false">E233*F233</f>
        <v>2383347.6</v>
      </c>
      <c r="H233" s="42" t="n">
        <f aca="false">IFERROR(xlookup(D233,'Lookup Reference'!$A$4:$A$6,'Lookup Reference'!$C$4:$C$6),INDEX('Lookup Reference'!$C$4:$C$6,MATCH(D233,'Lookup Reference'!$A$4:$A$6,0)))</f>
        <v>0.52</v>
      </c>
      <c r="I233" s="41" t="n">
        <f aca="false">G233*H233</f>
        <v>1239340.752</v>
      </c>
      <c r="J233" s="41" t="n">
        <f aca="false">G233-I233</f>
        <v>1144006.848</v>
      </c>
    </row>
    <row r="234" customFormat="false" ht="15" hidden="false" customHeight="true" outlineLevel="0" collapsed="false">
      <c r="A234" s="35" t="n">
        <v>45870</v>
      </c>
      <c r="B234" s="8" t="s">
        <v>91</v>
      </c>
      <c r="C234" s="8" t="s">
        <v>69</v>
      </c>
      <c r="D234" s="8" t="s">
        <v>45</v>
      </c>
      <c r="E234" s="36" t="n">
        <v>422</v>
      </c>
      <c r="F234" s="21" t="n">
        <v>2275.76</v>
      </c>
      <c r="G234" s="37" t="n">
        <f aca="false">E234*F234</f>
        <v>960370.72</v>
      </c>
      <c r="H234" s="38" t="n">
        <f aca="false">IFERROR(xlookup(D234,'Lookup Reference'!$A$4:$A$6,'Lookup Reference'!$C$4:$C$6),INDEX('Lookup Reference'!$C$4:$C$6,MATCH(D234,'Lookup Reference'!$A$4:$A$6,0)))</f>
        <v>0.38</v>
      </c>
      <c r="I234" s="37" t="n">
        <f aca="false">G234*H234</f>
        <v>364940.8736</v>
      </c>
      <c r="J234" s="37" t="n">
        <f aca="false">G234-I234</f>
        <v>595429.8464</v>
      </c>
    </row>
    <row r="235" customFormat="false" ht="15" hidden="false" customHeight="true" outlineLevel="0" collapsed="false">
      <c r="A235" s="39" t="n">
        <v>45870</v>
      </c>
      <c r="B235" s="24" t="s">
        <v>91</v>
      </c>
      <c r="C235" s="24" t="s">
        <v>70</v>
      </c>
      <c r="D235" s="24" t="s">
        <v>43</v>
      </c>
      <c r="E235" s="40" t="n">
        <v>483</v>
      </c>
      <c r="F235" s="25" t="n">
        <v>3992.86</v>
      </c>
      <c r="G235" s="41" t="n">
        <f aca="false">E235*F235</f>
        <v>1928551.38</v>
      </c>
      <c r="H235" s="42" t="n">
        <f aca="false">IFERROR(xlookup(D235,'Lookup Reference'!$A$4:$A$6,'Lookup Reference'!$C$4:$C$6),INDEX('Lookup Reference'!$C$4:$C$6,MATCH(D235,'Lookup Reference'!$A$4:$A$6,0)))</f>
        <v>0.46</v>
      </c>
      <c r="I235" s="41" t="n">
        <f aca="false">G235*H235</f>
        <v>887133.6348</v>
      </c>
      <c r="J235" s="41" t="n">
        <f aca="false">G235-I235</f>
        <v>1041417.7452</v>
      </c>
    </row>
    <row r="236" customFormat="false" ht="15" hidden="false" customHeight="true" outlineLevel="0" collapsed="false">
      <c r="A236" s="35" t="n">
        <v>45870</v>
      </c>
      <c r="B236" s="8" t="s">
        <v>91</v>
      </c>
      <c r="C236" s="8" t="s">
        <v>70</v>
      </c>
      <c r="D236" s="8" t="s">
        <v>44</v>
      </c>
      <c r="E236" s="36" t="n">
        <v>319</v>
      </c>
      <c r="F236" s="21" t="n">
        <v>6370.8</v>
      </c>
      <c r="G236" s="37" t="n">
        <f aca="false">E236*F236</f>
        <v>2032285.2</v>
      </c>
      <c r="H236" s="38" t="n">
        <f aca="false">IFERROR(xlookup(D236,'Lookup Reference'!$A$4:$A$6,'Lookup Reference'!$C$4:$C$6),INDEX('Lookup Reference'!$C$4:$C$6,MATCH(D236,'Lookup Reference'!$A$4:$A$6,0)))</f>
        <v>0.52</v>
      </c>
      <c r="I236" s="37" t="n">
        <f aca="false">G236*H236</f>
        <v>1056788.304</v>
      </c>
      <c r="J236" s="37" t="n">
        <f aca="false">G236-I236</f>
        <v>975496.896</v>
      </c>
    </row>
    <row r="237" customFormat="false" ht="15" hidden="false" customHeight="true" outlineLevel="0" collapsed="false">
      <c r="A237" s="39" t="n">
        <v>45870</v>
      </c>
      <c r="B237" s="24" t="s">
        <v>91</v>
      </c>
      <c r="C237" s="24" t="s">
        <v>70</v>
      </c>
      <c r="D237" s="24" t="s">
        <v>45</v>
      </c>
      <c r="E237" s="40" t="n">
        <v>387</v>
      </c>
      <c r="F237" s="25" t="n">
        <v>2350.26</v>
      </c>
      <c r="G237" s="41" t="n">
        <f aca="false">E237*F237</f>
        <v>909550.62</v>
      </c>
      <c r="H237" s="42" t="n">
        <f aca="false">IFERROR(xlookup(D237,'Lookup Reference'!$A$4:$A$6,'Lookup Reference'!$C$4:$C$6),INDEX('Lookup Reference'!$C$4:$C$6,MATCH(D237,'Lookup Reference'!$A$4:$A$6,0)))</f>
        <v>0.38</v>
      </c>
      <c r="I237" s="41" t="n">
        <f aca="false">G237*H237</f>
        <v>345629.2356</v>
      </c>
      <c r="J237" s="41" t="n">
        <f aca="false">G237-I237</f>
        <v>563921.3844</v>
      </c>
    </row>
    <row r="238" customFormat="false" ht="15" hidden="false" customHeight="true" outlineLevel="0" collapsed="false">
      <c r="A238" s="35" t="n">
        <v>45870</v>
      </c>
      <c r="B238" s="8" t="s">
        <v>91</v>
      </c>
      <c r="C238" s="8" t="s">
        <v>71</v>
      </c>
      <c r="D238" s="8" t="s">
        <v>43</v>
      </c>
      <c r="E238" s="36" t="n">
        <v>649</v>
      </c>
      <c r="F238" s="21" t="n">
        <v>3911.68</v>
      </c>
      <c r="G238" s="37" t="n">
        <f aca="false">E238*F238</f>
        <v>2538680.32</v>
      </c>
      <c r="H238" s="38" t="n">
        <f aca="false">IFERROR(xlookup(D238,'Lookup Reference'!$A$4:$A$6,'Lookup Reference'!$C$4:$C$6),INDEX('Lookup Reference'!$C$4:$C$6,MATCH(D238,'Lookup Reference'!$A$4:$A$6,0)))</f>
        <v>0.46</v>
      </c>
      <c r="I238" s="37" t="n">
        <f aca="false">G238*H238</f>
        <v>1167792.9472</v>
      </c>
      <c r="J238" s="37" t="n">
        <f aca="false">G238-I238</f>
        <v>1370887.3728</v>
      </c>
    </row>
    <row r="239" customFormat="false" ht="15" hidden="false" customHeight="true" outlineLevel="0" collapsed="false">
      <c r="A239" s="39" t="n">
        <v>45870</v>
      </c>
      <c r="B239" s="24" t="s">
        <v>91</v>
      </c>
      <c r="C239" s="24" t="s">
        <v>71</v>
      </c>
      <c r="D239" s="24" t="s">
        <v>44</v>
      </c>
      <c r="E239" s="40" t="n">
        <v>374</v>
      </c>
      <c r="F239" s="25" t="n">
        <v>6580.9</v>
      </c>
      <c r="G239" s="41" t="n">
        <f aca="false">E239*F239</f>
        <v>2461256.6</v>
      </c>
      <c r="H239" s="42" t="n">
        <f aca="false">IFERROR(xlookup(D239,'Lookup Reference'!$A$4:$A$6,'Lookup Reference'!$C$4:$C$6),INDEX('Lookup Reference'!$C$4:$C$6,MATCH(D239,'Lookup Reference'!$A$4:$A$6,0)))</f>
        <v>0.52</v>
      </c>
      <c r="I239" s="41" t="n">
        <f aca="false">G239*H239</f>
        <v>1279853.432</v>
      </c>
      <c r="J239" s="41" t="n">
        <f aca="false">G239-I239</f>
        <v>1181403.168</v>
      </c>
    </row>
    <row r="240" customFormat="false" ht="15" hidden="false" customHeight="true" outlineLevel="0" collapsed="false">
      <c r="A240" s="35" t="n">
        <v>45870</v>
      </c>
      <c r="B240" s="8" t="s">
        <v>91</v>
      </c>
      <c r="C240" s="8" t="s">
        <v>71</v>
      </c>
      <c r="D240" s="8" t="s">
        <v>45</v>
      </c>
      <c r="E240" s="36" t="n">
        <v>490</v>
      </c>
      <c r="F240" s="21" t="n">
        <v>2261.44</v>
      </c>
      <c r="G240" s="37" t="n">
        <f aca="false">E240*F240</f>
        <v>1108105.6</v>
      </c>
      <c r="H240" s="38" t="n">
        <f aca="false">IFERROR(xlookup(D240,'Lookup Reference'!$A$4:$A$6,'Lookup Reference'!$C$4:$C$6),INDEX('Lookup Reference'!$C$4:$C$6,MATCH(D240,'Lookup Reference'!$A$4:$A$6,0)))</f>
        <v>0.38</v>
      </c>
      <c r="I240" s="37" t="n">
        <f aca="false">G240*H240</f>
        <v>421080.128</v>
      </c>
      <c r="J240" s="37" t="n">
        <f aca="false">G240-I240</f>
        <v>687025.472</v>
      </c>
    </row>
    <row r="241" customFormat="false" ht="15" hidden="false" customHeight="true" outlineLevel="0" collapsed="false">
      <c r="A241" s="39" t="n">
        <v>45870</v>
      </c>
      <c r="B241" s="24" t="s">
        <v>91</v>
      </c>
      <c r="C241" s="24" t="s">
        <v>72</v>
      </c>
      <c r="D241" s="24" t="s">
        <v>43</v>
      </c>
      <c r="E241" s="40" t="n">
        <v>527</v>
      </c>
      <c r="F241" s="25" t="n">
        <v>4180.99</v>
      </c>
      <c r="G241" s="41" t="n">
        <f aca="false">E241*F241</f>
        <v>2203381.73</v>
      </c>
      <c r="H241" s="42" t="n">
        <f aca="false">IFERROR(xlookup(D241,'Lookup Reference'!$A$4:$A$6,'Lookup Reference'!$C$4:$C$6),INDEX('Lookup Reference'!$C$4:$C$6,MATCH(D241,'Lookup Reference'!$A$4:$A$6,0)))</f>
        <v>0.46</v>
      </c>
      <c r="I241" s="41" t="n">
        <f aca="false">G241*H241</f>
        <v>1013555.5958</v>
      </c>
      <c r="J241" s="41" t="n">
        <f aca="false">G241-I241</f>
        <v>1189826.1342</v>
      </c>
    </row>
    <row r="242" customFormat="false" ht="15" hidden="false" customHeight="true" outlineLevel="0" collapsed="false">
      <c r="A242" s="35" t="n">
        <v>45870</v>
      </c>
      <c r="B242" s="8" t="s">
        <v>91</v>
      </c>
      <c r="C242" s="8" t="s">
        <v>72</v>
      </c>
      <c r="D242" s="8" t="s">
        <v>44</v>
      </c>
      <c r="E242" s="36" t="n">
        <v>339</v>
      </c>
      <c r="F242" s="21" t="n">
        <v>6660.17</v>
      </c>
      <c r="G242" s="37" t="n">
        <f aca="false">E242*F242</f>
        <v>2257797.63</v>
      </c>
      <c r="H242" s="38" t="n">
        <f aca="false">IFERROR(xlookup(D242,'Lookup Reference'!$A$4:$A$6,'Lookup Reference'!$C$4:$C$6),INDEX('Lookup Reference'!$C$4:$C$6,MATCH(D242,'Lookup Reference'!$A$4:$A$6,0)))</f>
        <v>0.52</v>
      </c>
      <c r="I242" s="37" t="n">
        <f aca="false">G242*H242</f>
        <v>1174054.7676</v>
      </c>
      <c r="J242" s="37" t="n">
        <f aca="false">G242-I242</f>
        <v>1083742.8624</v>
      </c>
    </row>
    <row r="243" customFormat="false" ht="15" hidden="false" customHeight="true" outlineLevel="0" collapsed="false">
      <c r="A243" s="39" t="n">
        <v>45870</v>
      </c>
      <c r="B243" s="24" t="s">
        <v>91</v>
      </c>
      <c r="C243" s="24" t="s">
        <v>72</v>
      </c>
      <c r="D243" s="24" t="s">
        <v>45</v>
      </c>
      <c r="E243" s="40" t="n">
        <v>472</v>
      </c>
      <c r="F243" s="25" t="n">
        <v>2363.62</v>
      </c>
      <c r="G243" s="41" t="n">
        <f aca="false">E243*F243</f>
        <v>1115628.64</v>
      </c>
      <c r="H243" s="42" t="n">
        <f aca="false">IFERROR(xlookup(D243,'Lookup Reference'!$A$4:$A$6,'Lookup Reference'!$C$4:$C$6),INDEX('Lookup Reference'!$C$4:$C$6,MATCH(D243,'Lookup Reference'!$A$4:$A$6,0)))</f>
        <v>0.38</v>
      </c>
      <c r="I243" s="41" t="n">
        <f aca="false">G243*H243</f>
        <v>423938.8832</v>
      </c>
      <c r="J243" s="41" t="n">
        <f aca="false">G243-I243</f>
        <v>691689.7568</v>
      </c>
    </row>
    <row r="244" customFormat="false" ht="15" hidden="false" customHeight="true" outlineLevel="0" collapsed="false">
      <c r="A244" s="35" t="n">
        <v>45901</v>
      </c>
      <c r="B244" s="8" t="s">
        <v>92</v>
      </c>
      <c r="C244" s="8" t="s">
        <v>69</v>
      </c>
      <c r="D244" s="8" t="s">
        <v>43</v>
      </c>
      <c r="E244" s="36" t="n">
        <v>559</v>
      </c>
      <c r="F244" s="21" t="n">
        <v>3892.58</v>
      </c>
      <c r="G244" s="37" t="n">
        <f aca="false">E244*F244</f>
        <v>2175952.22</v>
      </c>
      <c r="H244" s="38" t="n">
        <f aca="false">IFERROR(xlookup(D244,'Lookup Reference'!$A$4:$A$6,'Lookup Reference'!$C$4:$C$6),INDEX('Lookup Reference'!$C$4:$C$6,MATCH(D244,'Lookup Reference'!$A$4:$A$6,0)))</f>
        <v>0.46</v>
      </c>
      <c r="I244" s="37" t="n">
        <f aca="false">G244*H244</f>
        <v>1000938.0212</v>
      </c>
      <c r="J244" s="37" t="n">
        <f aca="false">G244-I244</f>
        <v>1175014.1988</v>
      </c>
    </row>
    <row r="245" customFormat="false" ht="15" hidden="false" customHeight="true" outlineLevel="0" collapsed="false">
      <c r="A245" s="39" t="n">
        <v>45901</v>
      </c>
      <c r="B245" s="24" t="s">
        <v>92</v>
      </c>
      <c r="C245" s="24" t="s">
        <v>69</v>
      </c>
      <c r="D245" s="24" t="s">
        <v>44</v>
      </c>
      <c r="E245" s="40" t="n">
        <v>344</v>
      </c>
      <c r="F245" s="25" t="n">
        <v>6690.73</v>
      </c>
      <c r="G245" s="41" t="n">
        <f aca="false">E245*F245</f>
        <v>2301611.12</v>
      </c>
      <c r="H245" s="42" t="n">
        <f aca="false">IFERROR(xlookup(D245,'Lookup Reference'!$A$4:$A$6,'Lookup Reference'!$C$4:$C$6),INDEX('Lookup Reference'!$C$4:$C$6,MATCH(D245,'Lookup Reference'!$A$4:$A$6,0)))</f>
        <v>0.52</v>
      </c>
      <c r="I245" s="41" t="n">
        <f aca="false">G245*H245</f>
        <v>1196837.7824</v>
      </c>
      <c r="J245" s="41" t="n">
        <f aca="false">G245-I245</f>
        <v>1104773.3376</v>
      </c>
    </row>
    <row r="246" customFormat="false" ht="15" hidden="false" customHeight="true" outlineLevel="0" collapsed="false">
      <c r="A246" s="35" t="n">
        <v>45901</v>
      </c>
      <c r="B246" s="8" t="s">
        <v>92</v>
      </c>
      <c r="C246" s="8" t="s">
        <v>69</v>
      </c>
      <c r="D246" s="8" t="s">
        <v>45</v>
      </c>
      <c r="E246" s="36" t="n">
        <v>506</v>
      </c>
      <c r="F246" s="21" t="n">
        <v>2398.01</v>
      </c>
      <c r="G246" s="37" t="n">
        <f aca="false">E246*F246</f>
        <v>1213393.06</v>
      </c>
      <c r="H246" s="38" t="n">
        <f aca="false">IFERROR(xlookup(D246,'Lookup Reference'!$A$4:$A$6,'Lookup Reference'!$C$4:$C$6),INDEX('Lookup Reference'!$C$4:$C$6,MATCH(D246,'Lookup Reference'!$A$4:$A$6,0)))</f>
        <v>0.38</v>
      </c>
      <c r="I246" s="37" t="n">
        <f aca="false">G246*H246</f>
        <v>461089.3628</v>
      </c>
      <c r="J246" s="37" t="n">
        <f aca="false">G246-I246</f>
        <v>752303.6972</v>
      </c>
    </row>
    <row r="247" customFormat="false" ht="15" hidden="false" customHeight="true" outlineLevel="0" collapsed="false">
      <c r="A247" s="39" t="n">
        <v>45901</v>
      </c>
      <c r="B247" s="24" t="s">
        <v>92</v>
      </c>
      <c r="C247" s="24" t="s">
        <v>70</v>
      </c>
      <c r="D247" s="24" t="s">
        <v>43</v>
      </c>
      <c r="E247" s="40" t="n">
        <v>497</v>
      </c>
      <c r="F247" s="25" t="n">
        <v>4130.38</v>
      </c>
      <c r="G247" s="41" t="n">
        <f aca="false">E247*F247</f>
        <v>2052798.86</v>
      </c>
      <c r="H247" s="42" t="n">
        <f aca="false">IFERROR(xlookup(D247,'Lookup Reference'!$A$4:$A$6,'Lookup Reference'!$C$4:$C$6),INDEX('Lookup Reference'!$C$4:$C$6,MATCH(D247,'Lookup Reference'!$A$4:$A$6,0)))</f>
        <v>0.46</v>
      </c>
      <c r="I247" s="41" t="n">
        <f aca="false">G247*H247</f>
        <v>944287.4756</v>
      </c>
      <c r="J247" s="41" t="n">
        <f aca="false">G247-I247</f>
        <v>1108511.3844</v>
      </c>
    </row>
    <row r="248" customFormat="false" ht="15" hidden="false" customHeight="true" outlineLevel="0" collapsed="false">
      <c r="A248" s="35" t="n">
        <v>45901</v>
      </c>
      <c r="B248" s="8" t="s">
        <v>92</v>
      </c>
      <c r="C248" s="8" t="s">
        <v>70</v>
      </c>
      <c r="D248" s="8" t="s">
        <v>44</v>
      </c>
      <c r="E248" s="36" t="n">
        <v>317</v>
      </c>
      <c r="F248" s="21" t="n">
        <v>6612.42</v>
      </c>
      <c r="G248" s="37" t="n">
        <f aca="false">E248*F248</f>
        <v>2096137.14</v>
      </c>
      <c r="H248" s="38" t="n">
        <f aca="false">IFERROR(xlookup(D248,'Lookup Reference'!$A$4:$A$6,'Lookup Reference'!$C$4:$C$6),INDEX('Lookup Reference'!$C$4:$C$6,MATCH(D248,'Lookup Reference'!$A$4:$A$6,0)))</f>
        <v>0.52</v>
      </c>
      <c r="I248" s="37" t="n">
        <f aca="false">G248*H248</f>
        <v>1089991.3128</v>
      </c>
      <c r="J248" s="37" t="n">
        <f aca="false">G248-I248</f>
        <v>1006145.8272</v>
      </c>
    </row>
    <row r="249" customFormat="false" ht="15" hidden="false" customHeight="true" outlineLevel="0" collapsed="false">
      <c r="A249" s="39" t="n">
        <v>45901</v>
      </c>
      <c r="B249" s="24" t="s">
        <v>92</v>
      </c>
      <c r="C249" s="24" t="s">
        <v>70</v>
      </c>
      <c r="D249" s="24" t="s">
        <v>45</v>
      </c>
      <c r="E249" s="40" t="n">
        <v>383</v>
      </c>
      <c r="F249" s="25" t="n">
        <v>2263.35</v>
      </c>
      <c r="G249" s="41" t="n">
        <f aca="false">E249*F249</f>
        <v>866863.05</v>
      </c>
      <c r="H249" s="42" t="n">
        <f aca="false">IFERROR(xlookup(D249,'Lookup Reference'!$A$4:$A$6,'Lookup Reference'!$C$4:$C$6),INDEX('Lookup Reference'!$C$4:$C$6,MATCH(D249,'Lookup Reference'!$A$4:$A$6,0)))</f>
        <v>0.38</v>
      </c>
      <c r="I249" s="41" t="n">
        <f aca="false">G249*H249</f>
        <v>329407.959</v>
      </c>
      <c r="J249" s="41" t="n">
        <f aca="false">G249-I249</f>
        <v>537455.091</v>
      </c>
    </row>
    <row r="250" customFormat="false" ht="15" hidden="false" customHeight="true" outlineLevel="0" collapsed="false">
      <c r="A250" s="35" t="n">
        <v>45901</v>
      </c>
      <c r="B250" s="8" t="s">
        <v>92</v>
      </c>
      <c r="C250" s="8" t="s">
        <v>71</v>
      </c>
      <c r="D250" s="8" t="s">
        <v>43</v>
      </c>
      <c r="E250" s="36" t="n">
        <v>604</v>
      </c>
      <c r="F250" s="21" t="n">
        <v>3900.22</v>
      </c>
      <c r="G250" s="37" t="n">
        <f aca="false">E250*F250</f>
        <v>2355732.88</v>
      </c>
      <c r="H250" s="38" t="n">
        <f aca="false">IFERROR(xlookup(D250,'Lookup Reference'!$A$4:$A$6,'Lookup Reference'!$C$4:$C$6),INDEX('Lookup Reference'!$C$4:$C$6,MATCH(D250,'Lookup Reference'!$A$4:$A$6,0)))</f>
        <v>0.46</v>
      </c>
      <c r="I250" s="37" t="n">
        <f aca="false">G250*H250</f>
        <v>1083637.1248</v>
      </c>
      <c r="J250" s="37" t="n">
        <f aca="false">G250-I250</f>
        <v>1272095.7552</v>
      </c>
    </row>
    <row r="251" customFormat="false" ht="15" hidden="false" customHeight="true" outlineLevel="0" collapsed="false">
      <c r="A251" s="39" t="n">
        <v>45901</v>
      </c>
      <c r="B251" s="24" t="s">
        <v>92</v>
      </c>
      <c r="C251" s="24" t="s">
        <v>71</v>
      </c>
      <c r="D251" s="24" t="s">
        <v>44</v>
      </c>
      <c r="E251" s="40" t="n">
        <v>365</v>
      </c>
      <c r="F251" s="25" t="n">
        <v>6651.58</v>
      </c>
      <c r="G251" s="41" t="n">
        <f aca="false">E251*F251</f>
        <v>2427826.7</v>
      </c>
      <c r="H251" s="42" t="n">
        <f aca="false">IFERROR(xlookup(D251,'Lookup Reference'!$A$4:$A$6,'Lookup Reference'!$C$4:$C$6),INDEX('Lookup Reference'!$C$4:$C$6,MATCH(D251,'Lookup Reference'!$A$4:$A$6,0)))</f>
        <v>0.52</v>
      </c>
      <c r="I251" s="41" t="n">
        <f aca="false">G251*H251</f>
        <v>1262469.884</v>
      </c>
      <c r="J251" s="41" t="n">
        <f aca="false">G251-I251</f>
        <v>1165356.816</v>
      </c>
    </row>
    <row r="252" customFormat="false" ht="15" hidden="false" customHeight="true" outlineLevel="0" collapsed="false">
      <c r="A252" s="35" t="n">
        <v>45901</v>
      </c>
      <c r="B252" s="8" t="s">
        <v>92</v>
      </c>
      <c r="C252" s="8" t="s">
        <v>71</v>
      </c>
      <c r="D252" s="8" t="s">
        <v>45</v>
      </c>
      <c r="E252" s="36" t="n">
        <v>485</v>
      </c>
      <c r="F252" s="21" t="n">
        <v>2253.8</v>
      </c>
      <c r="G252" s="37" t="n">
        <f aca="false">E252*F252</f>
        <v>1093093</v>
      </c>
      <c r="H252" s="38" t="n">
        <f aca="false">IFERROR(xlookup(D252,'Lookup Reference'!$A$4:$A$6,'Lookup Reference'!$C$4:$C$6),INDEX('Lookup Reference'!$C$4:$C$6,MATCH(D252,'Lookup Reference'!$A$4:$A$6,0)))</f>
        <v>0.38</v>
      </c>
      <c r="I252" s="37" t="n">
        <f aca="false">G252*H252</f>
        <v>415375.34</v>
      </c>
      <c r="J252" s="37" t="n">
        <f aca="false">G252-I252</f>
        <v>677717.66</v>
      </c>
    </row>
    <row r="253" customFormat="false" ht="15" hidden="false" customHeight="true" outlineLevel="0" collapsed="false">
      <c r="A253" s="39" t="n">
        <v>45901</v>
      </c>
      <c r="B253" s="24" t="s">
        <v>92</v>
      </c>
      <c r="C253" s="24" t="s">
        <v>72</v>
      </c>
      <c r="D253" s="24" t="s">
        <v>43</v>
      </c>
      <c r="E253" s="40" t="n">
        <v>529</v>
      </c>
      <c r="F253" s="25" t="n">
        <v>3931.74</v>
      </c>
      <c r="G253" s="41" t="n">
        <f aca="false">E253*F253</f>
        <v>2079890.46</v>
      </c>
      <c r="H253" s="42" t="n">
        <f aca="false">IFERROR(xlookup(D253,'Lookup Reference'!$A$4:$A$6,'Lookup Reference'!$C$4:$C$6),INDEX('Lookup Reference'!$C$4:$C$6,MATCH(D253,'Lookup Reference'!$A$4:$A$6,0)))</f>
        <v>0.46</v>
      </c>
      <c r="I253" s="41" t="n">
        <f aca="false">G253*H253</f>
        <v>956749.6116</v>
      </c>
      <c r="J253" s="41" t="n">
        <f aca="false">G253-I253</f>
        <v>1123140.8484</v>
      </c>
    </row>
    <row r="254" customFormat="false" ht="15" hidden="false" customHeight="true" outlineLevel="0" collapsed="false">
      <c r="A254" s="35" t="n">
        <v>45901</v>
      </c>
      <c r="B254" s="8" t="s">
        <v>92</v>
      </c>
      <c r="C254" s="8" t="s">
        <v>72</v>
      </c>
      <c r="D254" s="8" t="s">
        <v>44</v>
      </c>
      <c r="E254" s="36" t="n">
        <v>340</v>
      </c>
      <c r="F254" s="21" t="n">
        <v>6313.51</v>
      </c>
      <c r="G254" s="37" t="n">
        <f aca="false">E254*F254</f>
        <v>2146593.4</v>
      </c>
      <c r="H254" s="38" t="n">
        <f aca="false">IFERROR(xlookup(D254,'Lookup Reference'!$A$4:$A$6,'Lookup Reference'!$C$4:$C$6),INDEX('Lookup Reference'!$C$4:$C$6,MATCH(D254,'Lookup Reference'!$A$4:$A$6,0)))</f>
        <v>0.52</v>
      </c>
      <c r="I254" s="37" t="n">
        <f aca="false">G254*H254</f>
        <v>1116228.568</v>
      </c>
      <c r="J254" s="37" t="n">
        <f aca="false">G254-I254</f>
        <v>1030364.832</v>
      </c>
    </row>
    <row r="255" customFormat="false" ht="15" hidden="false" customHeight="true" outlineLevel="0" collapsed="false">
      <c r="A255" s="39" t="n">
        <v>45901</v>
      </c>
      <c r="B255" s="24" t="s">
        <v>92</v>
      </c>
      <c r="C255" s="24" t="s">
        <v>72</v>
      </c>
      <c r="D255" s="24" t="s">
        <v>45</v>
      </c>
      <c r="E255" s="40" t="n">
        <v>421</v>
      </c>
      <c r="F255" s="25" t="n">
        <v>2326.38</v>
      </c>
      <c r="G255" s="41" t="n">
        <f aca="false">E255*F255</f>
        <v>979405.98</v>
      </c>
      <c r="H255" s="42" t="n">
        <f aca="false">IFERROR(xlookup(D255,'Lookup Reference'!$A$4:$A$6,'Lookup Reference'!$C$4:$C$6),INDEX('Lookup Reference'!$C$4:$C$6,MATCH(D255,'Lookup Reference'!$A$4:$A$6,0)))</f>
        <v>0.38</v>
      </c>
      <c r="I255" s="41" t="n">
        <f aca="false">G255*H255</f>
        <v>372174.2724</v>
      </c>
      <c r="J255" s="41" t="n">
        <f aca="false">G255-I255</f>
        <v>607231.7076</v>
      </c>
    </row>
    <row r="256" customFormat="false" ht="15" hidden="false" customHeight="true" outlineLevel="0" collapsed="false">
      <c r="A256" s="35" t="n">
        <v>45931</v>
      </c>
      <c r="B256" s="8" t="s">
        <v>93</v>
      </c>
      <c r="C256" s="8" t="s">
        <v>69</v>
      </c>
      <c r="D256" s="8" t="s">
        <v>43</v>
      </c>
      <c r="E256" s="36" t="n">
        <v>568</v>
      </c>
      <c r="F256" s="21" t="n">
        <v>4096.95</v>
      </c>
      <c r="G256" s="37" t="n">
        <f aca="false">E256*F256</f>
        <v>2327067.6</v>
      </c>
      <c r="H256" s="38" t="n">
        <f aca="false">IFERROR(xlookup(D256,'Lookup Reference'!$A$4:$A$6,'Lookup Reference'!$C$4:$C$6),INDEX('Lookup Reference'!$C$4:$C$6,MATCH(D256,'Lookup Reference'!$A$4:$A$6,0)))</f>
        <v>0.46</v>
      </c>
      <c r="I256" s="37" t="n">
        <f aca="false">G256*H256</f>
        <v>1070451.096</v>
      </c>
      <c r="J256" s="37" t="n">
        <f aca="false">G256-I256</f>
        <v>1256616.504</v>
      </c>
    </row>
    <row r="257" customFormat="false" ht="15" hidden="false" customHeight="true" outlineLevel="0" collapsed="false">
      <c r="A257" s="39" t="n">
        <v>45931</v>
      </c>
      <c r="B257" s="24" t="s">
        <v>93</v>
      </c>
      <c r="C257" s="24" t="s">
        <v>69</v>
      </c>
      <c r="D257" s="24" t="s">
        <v>44</v>
      </c>
      <c r="E257" s="40" t="n">
        <v>362</v>
      </c>
      <c r="F257" s="25" t="n">
        <v>6538.89</v>
      </c>
      <c r="G257" s="41" t="n">
        <f aca="false">E257*F257</f>
        <v>2367078.18</v>
      </c>
      <c r="H257" s="42" t="n">
        <f aca="false">IFERROR(xlookup(D257,'Lookup Reference'!$A$4:$A$6,'Lookup Reference'!$C$4:$C$6),INDEX('Lookup Reference'!$C$4:$C$6,MATCH(D257,'Lookup Reference'!$A$4:$A$6,0)))</f>
        <v>0.52</v>
      </c>
      <c r="I257" s="41" t="n">
        <f aca="false">G257*H257</f>
        <v>1230880.6536</v>
      </c>
      <c r="J257" s="41" t="n">
        <f aca="false">G257-I257</f>
        <v>1136197.5264</v>
      </c>
    </row>
    <row r="258" customFormat="false" ht="15" hidden="false" customHeight="true" outlineLevel="0" collapsed="false">
      <c r="A258" s="35" t="n">
        <v>45931</v>
      </c>
      <c r="B258" s="8" t="s">
        <v>93</v>
      </c>
      <c r="C258" s="8" t="s">
        <v>69</v>
      </c>
      <c r="D258" s="8" t="s">
        <v>45</v>
      </c>
      <c r="E258" s="36" t="n">
        <v>463</v>
      </c>
      <c r="F258" s="21" t="n">
        <v>2292.95</v>
      </c>
      <c r="G258" s="37" t="n">
        <f aca="false">E258*F258</f>
        <v>1061635.85</v>
      </c>
      <c r="H258" s="38" t="n">
        <f aca="false">IFERROR(xlookup(D258,'Lookup Reference'!$A$4:$A$6,'Lookup Reference'!$C$4:$C$6),INDEX('Lookup Reference'!$C$4:$C$6,MATCH(D258,'Lookup Reference'!$A$4:$A$6,0)))</f>
        <v>0.38</v>
      </c>
      <c r="I258" s="37" t="n">
        <f aca="false">G258*H258</f>
        <v>403421.623</v>
      </c>
      <c r="J258" s="37" t="n">
        <f aca="false">G258-I258</f>
        <v>658214.227</v>
      </c>
    </row>
    <row r="259" customFormat="false" ht="15" hidden="false" customHeight="true" outlineLevel="0" collapsed="false">
      <c r="A259" s="39" t="n">
        <v>45931</v>
      </c>
      <c r="B259" s="24" t="s">
        <v>93</v>
      </c>
      <c r="C259" s="24" t="s">
        <v>70</v>
      </c>
      <c r="D259" s="24" t="s">
        <v>43</v>
      </c>
      <c r="E259" s="40" t="n">
        <v>525</v>
      </c>
      <c r="F259" s="25" t="n">
        <v>3995.72</v>
      </c>
      <c r="G259" s="41" t="n">
        <f aca="false">E259*F259</f>
        <v>2097753</v>
      </c>
      <c r="H259" s="42" t="n">
        <f aca="false">IFERROR(xlookup(D259,'Lookup Reference'!$A$4:$A$6,'Lookup Reference'!$C$4:$C$6),INDEX('Lookup Reference'!$C$4:$C$6,MATCH(D259,'Lookup Reference'!$A$4:$A$6,0)))</f>
        <v>0.46</v>
      </c>
      <c r="I259" s="41" t="n">
        <f aca="false">G259*H259</f>
        <v>964966.38</v>
      </c>
      <c r="J259" s="41" t="n">
        <f aca="false">G259-I259</f>
        <v>1132786.62</v>
      </c>
    </row>
    <row r="260" customFormat="false" ht="15" hidden="false" customHeight="true" outlineLevel="0" collapsed="false">
      <c r="A260" s="35" t="n">
        <v>45931</v>
      </c>
      <c r="B260" s="8" t="s">
        <v>93</v>
      </c>
      <c r="C260" s="8" t="s">
        <v>70</v>
      </c>
      <c r="D260" s="8" t="s">
        <v>44</v>
      </c>
      <c r="E260" s="36" t="n">
        <v>371</v>
      </c>
      <c r="F260" s="21" t="n">
        <v>6495.91</v>
      </c>
      <c r="G260" s="37" t="n">
        <f aca="false">E260*F260</f>
        <v>2409982.61</v>
      </c>
      <c r="H260" s="38" t="n">
        <f aca="false">IFERROR(xlookup(D260,'Lookup Reference'!$A$4:$A$6,'Lookup Reference'!$C$4:$C$6),INDEX('Lookup Reference'!$C$4:$C$6,MATCH(D260,'Lookup Reference'!$A$4:$A$6,0)))</f>
        <v>0.52</v>
      </c>
      <c r="I260" s="37" t="n">
        <f aca="false">G260*H260</f>
        <v>1253190.9572</v>
      </c>
      <c r="J260" s="37" t="n">
        <f aca="false">G260-I260</f>
        <v>1156791.6528</v>
      </c>
    </row>
    <row r="261" customFormat="false" ht="15" hidden="false" customHeight="true" outlineLevel="0" collapsed="false">
      <c r="A261" s="39" t="n">
        <v>45931</v>
      </c>
      <c r="B261" s="24" t="s">
        <v>93</v>
      </c>
      <c r="C261" s="24" t="s">
        <v>70</v>
      </c>
      <c r="D261" s="24" t="s">
        <v>45</v>
      </c>
      <c r="E261" s="40" t="n">
        <v>484</v>
      </c>
      <c r="F261" s="25" t="n">
        <v>2376.04</v>
      </c>
      <c r="G261" s="41" t="n">
        <f aca="false">E261*F261</f>
        <v>1150003.36</v>
      </c>
      <c r="H261" s="42" t="n">
        <f aca="false">IFERROR(xlookup(D261,'Lookup Reference'!$A$4:$A$6,'Lookup Reference'!$C$4:$C$6),INDEX('Lookup Reference'!$C$4:$C$6,MATCH(D261,'Lookup Reference'!$A$4:$A$6,0)))</f>
        <v>0.38</v>
      </c>
      <c r="I261" s="41" t="n">
        <f aca="false">G261*H261</f>
        <v>437001.2768</v>
      </c>
      <c r="J261" s="41" t="n">
        <f aca="false">G261-I261</f>
        <v>713002.0832</v>
      </c>
    </row>
    <row r="262" customFormat="false" ht="15" hidden="false" customHeight="true" outlineLevel="0" collapsed="false">
      <c r="A262" s="35" t="n">
        <v>45931</v>
      </c>
      <c r="B262" s="8" t="s">
        <v>93</v>
      </c>
      <c r="C262" s="8" t="s">
        <v>71</v>
      </c>
      <c r="D262" s="8" t="s">
        <v>43</v>
      </c>
      <c r="E262" s="36" t="n">
        <v>642</v>
      </c>
      <c r="F262" s="21" t="n">
        <v>3917.41</v>
      </c>
      <c r="G262" s="37" t="n">
        <f aca="false">E262*F262</f>
        <v>2514977.22</v>
      </c>
      <c r="H262" s="38" t="n">
        <f aca="false">IFERROR(xlookup(D262,'Lookup Reference'!$A$4:$A$6,'Lookup Reference'!$C$4:$C$6),INDEX('Lookup Reference'!$C$4:$C$6,MATCH(D262,'Lookup Reference'!$A$4:$A$6,0)))</f>
        <v>0.46</v>
      </c>
      <c r="I262" s="37" t="n">
        <f aca="false">G262*H262</f>
        <v>1156889.5212</v>
      </c>
      <c r="J262" s="37" t="n">
        <f aca="false">G262-I262</f>
        <v>1358087.6988</v>
      </c>
    </row>
    <row r="263" customFormat="false" ht="15" hidden="false" customHeight="true" outlineLevel="0" collapsed="false">
      <c r="A263" s="39" t="n">
        <v>45931</v>
      </c>
      <c r="B263" s="24" t="s">
        <v>93</v>
      </c>
      <c r="C263" s="24" t="s">
        <v>71</v>
      </c>
      <c r="D263" s="24" t="s">
        <v>44</v>
      </c>
      <c r="E263" s="40" t="n">
        <v>374</v>
      </c>
      <c r="F263" s="25" t="n">
        <v>6578.99</v>
      </c>
      <c r="G263" s="41" t="n">
        <f aca="false">E263*F263</f>
        <v>2460542.26</v>
      </c>
      <c r="H263" s="42" t="n">
        <f aca="false">IFERROR(xlookup(D263,'Lookup Reference'!$A$4:$A$6,'Lookup Reference'!$C$4:$C$6),INDEX('Lookup Reference'!$C$4:$C$6,MATCH(D263,'Lookup Reference'!$A$4:$A$6,0)))</f>
        <v>0.52</v>
      </c>
      <c r="I263" s="41" t="n">
        <f aca="false">G263*H263</f>
        <v>1279481.9752</v>
      </c>
      <c r="J263" s="41" t="n">
        <f aca="false">G263-I263</f>
        <v>1181060.2848</v>
      </c>
    </row>
    <row r="264" customFormat="false" ht="15" hidden="false" customHeight="true" outlineLevel="0" collapsed="false">
      <c r="A264" s="35" t="n">
        <v>45931</v>
      </c>
      <c r="B264" s="8" t="s">
        <v>93</v>
      </c>
      <c r="C264" s="8" t="s">
        <v>71</v>
      </c>
      <c r="D264" s="8" t="s">
        <v>45</v>
      </c>
      <c r="E264" s="36" t="n">
        <v>619</v>
      </c>
      <c r="F264" s="21" t="n">
        <v>2287.22</v>
      </c>
      <c r="G264" s="37" t="n">
        <f aca="false">E264*F264</f>
        <v>1415789.18</v>
      </c>
      <c r="H264" s="38" t="n">
        <f aca="false">IFERROR(xlookup(D264,'Lookup Reference'!$A$4:$A$6,'Lookup Reference'!$C$4:$C$6),INDEX('Lookup Reference'!$C$4:$C$6,MATCH(D264,'Lookup Reference'!$A$4:$A$6,0)))</f>
        <v>0.38</v>
      </c>
      <c r="I264" s="37" t="n">
        <f aca="false">G264*H264</f>
        <v>537999.8884</v>
      </c>
      <c r="J264" s="37" t="n">
        <f aca="false">G264-I264</f>
        <v>877789.2916</v>
      </c>
    </row>
    <row r="265" customFormat="false" ht="15" hidden="false" customHeight="true" outlineLevel="0" collapsed="false">
      <c r="A265" s="39" t="n">
        <v>45931</v>
      </c>
      <c r="B265" s="24" t="s">
        <v>93</v>
      </c>
      <c r="C265" s="24" t="s">
        <v>72</v>
      </c>
      <c r="D265" s="24" t="s">
        <v>43</v>
      </c>
      <c r="E265" s="40" t="n">
        <v>615</v>
      </c>
      <c r="F265" s="25" t="n">
        <v>4140.88</v>
      </c>
      <c r="G265" s="41" t="n">
        <f aca="false">E265*F265</f>
        <v>2546641.2</v>
      </c>
      <c r="H265" s="42" t="n">
        <f aca="false">IFERROR(xlookup(D265,'Lookup Reference'!$A$4:$A$6,'Lookup Reference'!$C$4:$C$6),INDEX('Lookup Reference'!$C$4:$C$6,MATCH(D265,'Lookup Reference'!$A$4:$A$6,0)))</f>
        <v>0.46</v>
      </c>
      <c r="I265" s="41" t="n">
        <f aca="false">G265*H265</f>
        <v>1171454.952</v>
      </c>
      <c r="J265" s="41" t="n">
        <f aca="false">G265-I265</f>
        <v>1375186.248</v>
      </c>
    </row>
    <row r="266" customFormat="false" ht="15" hidden="false" customHeight="true" outlineLevel="0" collapsed="false">
      <c r="A266" s="35" t="n">
        <v>45931</v>
      </c>
      <c r="B266" s="8" t="s">
        <v>93</v>
      </c>
      <c r="C266" s="8" t="s">
        <v>72</v>
      </c>
      <c r="D266" s="8" t="s">
        <v>44</v>
      </c>
      <c r="E266" s="36" t="n">
        <v>381</v>
      </c>
      <c r="F266" s="21" t="n">
        <v>6690.73</v>
      </c>
      <c r="G266" s="37" t="n">
        <f aca="false">E266*F266</f>
        <v>2549168.13</v>
      </c>
      <c r="H266" s="38" t="n">
        <f aca="false">IFERROR(xlookup(D266,'Lookup Reference'!$A$4:$A$6,'Lookup Reference'!$C$4:$C$6),INDEX('Lookup Reference'!$C$4:$C$6,MATCH(D266,'Lookup Reference'!$A$4:$A$6,0)))</f>
        <v>0.52</v>
      </c>
      <c r="I266" s="37" t="n">
        <f aca="false">G266*H266</f>
        <v>1325567.4276</v>
      </c>
      <c r="J266" s="37" t="n">
        <f aca="false">G266-I266</f>
        <v>1223600.7024</v>
      </c>
    </row>
    <row r="267" customFormat="false" ht="15" hidden="false" customHeight="true" outlineLevel="0" collapsed="false">
      <c r="A267" s="39" t="n">
        <v>45931</v>
      </c>
      <c r="B267" s="24" t="s">
        <v>93</v>
      </c>
      <c r="C267" s="24" t="s">
        <v>72</v>
      </c>
      <c r="D267" s="24" t="s">
        <v>45</v>
      </c>
      <c r="E267" s="40" t="n">
        <v>532</v>
      </c>
      <c r="F267" s="25" t="n">
        <v>2259.53</v>
      </c>
      <c r="G267" s="41" t="n">
        <f aca="false">E267*F267</f>
        <v>1202069.96</v>
      </c>
      <c r="H267" s="42" t="n">
        <f aca="false">IFERROR(xlookup(D267,'Lookup Reference'!$A$4:$A$6,'Lookup Reference'!$C$4:$C$6),INDEX('Lookup Reference'!$C$4:$C$6,MATCH(D267,'Lookup Reference'!$A$4:$A$6,0)))</f>
        <v>0.38</v>
      </c>
      <c r="I267" s="41" t="n">
        <f aca="false">G267*H267</f>
        <v>456786.5848</v>
      </c>
      <c r="J267" s="41" t="n">
        <f aca="false">G267-I267</f>
        <v>745283.3752</v>
      </c>
    </row>
    <row r="268" customFormat="false" ht="15" hidden="false" customHeight="true" outlineLevel="0" collapsed="false">
      <c r="A268" s="35" t="n">
        <v>45962</v>
      </c>
      <c r="B268" s="8" t="s">
        <v>94</v>
      </c>
      <c r="C268" s="8" t="s">
        <v>69</v>
      </c>
      <c r="D268" s="8" t="s">
        <v>43</v>
      </c>
      <c r="E268" s="36" t="n">
        <v>678</v>
      </c>
      <c r="F268" s="21" t="n">
        <v>3939.38</v>
      </c>
      <c r="G268" s="37" t="n">
        <f aca="false">E268*F268</f>
        <v>2670899.64</v>
      </c>
      <c r="H268" s="38" t="n">
        <f aca="false">IFERROR(xlookup(D268,'Lookup Reference'!$A$4:$A$6,'Lookup Reference'!$C$4:$C$6),INDEX('Lookup Reference'!$C$4:$C$6,MATCH(D268,'Lookup Reference'!$A$4:$A$6,0)))</f>
        <v>0.46</v>
      </c>
      <c r="I268" s="37" t="n">
        <f aca="false">G268*H268</f>
        <v>1228613.8344</v>
      </c>
      <c r="J268" s="37" t="n">
        <f aca="false">G268-I268</f>
        <v>1442285.8056</v>
      </c>
    </row>
    <row r="269" customFormat="false" ht="15" hidden="false" customHeight="true" outlineLevel="0" collapsed="false">
      <c r="A269" s="39" t="n">
        <v>45962</v>
      </c>
      <c r="B269" s="24" t="s">
        <v>94</v>
      </c>
      <c r="C269" s="24" t="s">
        <v>69</v>
      </c>
      <c r="D269" s="24" t="s">
        <v>44</v>
      </c>
      <c r="E269" s="40" t="n">
        <v>432</v>
      </c>
      <c r="F269" s="25" t="n">
        <v>6646.8</v>
      </c>
      <c r="G269" s="41" t="n">
        <f aca="false">E269*F269</f>
        <v>2871417.6</v>
      </c>
      <c r="H269" s="42" t="n">
        <f aca="false">IFERROR(xlookup(D269,'Lookup Reference'!$A$4:$A$6,'Lookup Reference'!$C$4:$C$6),INDEX('Lookup Reference'!$C$4:$C$6,MATCH(D269,'Lookup Reference'!$A$4:$A$6,0)))</f>
        <v>0.52</v>
      </c>
      <c r="I269" s="41" t="n">
        <f aca="false">G269*H269</f>
        <v>1493137.152</v>
      </c>
      <c r="J269" s="41" t="n">
        <f aca="false">G269-I269</f>
        <v>1378280.448</v>
      </c>
    </row>
    <row r="270" customFormat="false" ht="15" hidden="false" customHeight="true" outlineLevel="0" collapsed="false">
      <c r="A270" s="35" t="n">
        <v>45962</v>
      </c>
      <c r="B270" s="8" t="s">
        <v>94</v>
      </c>
      <c r="C270" s="8" t="s">
        <v>69</v>
      </c>
      <c r="D270" s="8" t="s">
        <v>45</v>
      </c>
      <c r="E270" s="36" t="n">
        <v>630</v>
      </c>
      <c r="F270" s="21" t="n">
        <v>2263.35</v>
      </c>
      <c r="G270" s="37" t="n">
        <f aca="false">E270*F270</f>
        <v>1425910.5</v>
      </c>
      <c r="H270" s="38" t="n">
        <f aca="false">IFERROR(xlookup(D270,'Lookup Reference'!$A$4:$A$6,'Lookup Reference'!$C$4:$C$6),INDEX('Lookup Reference'!$C$4:$C$6,MATCH(D270,'Lookup Reference'!$A$4:$A$6,0)))</f>
        <v>0.38</v>
      </c>
      <c r="I270" s="37" t="n">
        <f aca="false">G270*H270</f>
        <v>541845.99</v>
      </c>
      <c r="J270" s="37" t="n">
        <f aca="false">G270-I270</f>
        <v>884064.51</v>
      </c>
    </row>
    <row r="271" customFormat="false" ht="15" hidden="false" customHeight="true" outlineLevel="0" collapsed="false">
      <c r="A271" s="39" t="n">
        <v>45962</v>
      </c>
      <c r="B271" s="24" t="s">
        <v>94</v>
      </c>
      <c r="C271" s="24" t="s">
        <v>70</v>
      </c>
      <c r="D271" s="24" t="s">
        <v>43</v>
      </c>
      <c r="E271" s="40" t="n">
        <v>707</v>
      </c>
      <c r="F271" s="25" t="n">
        <v>4137.06</v>
      </c>
      <c r="G271" s="41" t="n">
        <f aca="false">E271*F271</f>
        <v>2924901.42</v>
      </c>
      <c r="H271" s="42" t="n">
        <f aca="false">IFERROR(xlookup(D271,'Lookup Reference'!$A$4:$A$6,'Lookup Reference'!$C$4:$C$6),INDEX('Lookup Reference'!$C$4:$C$6,MATCH(D271,'Lookup Reference'!$A$4:$A$6,0)))</f>
        <v>0.46</v>
      </c>
      <c r="I271" s="41" t="n">
        <f aca="false">G271*H271</f>
        <v>1345454.6532</v>
      </c>
      <c r="J271" s="41" t="n">
        <f aca="false">G271-I271</f>
        <v>1579446.7668</v>
      </c>
    </row>
    <row r="272" customFormat="false" ht="15" hidden="false" customHeight="true" outlineLevel="0" collapsed="false">
      <c r="A272" s="35" t="n">
        <v>45962</v>
      </c>
      <c r="B272" s="8" t="s">
        <v>94</v>
      </c>
      <c r="C272" s="8" t="s">
        <v>70</v>
      </c>
      <c r="D272" s="8" t="s">
        <v>44</v>
      </c>
      <c r="E272" s="36" t="n">
        <v>384</v>
      </c>
      <c r="F272" s="21" t="n">
        <v>6614.33</v>
      </c>
      <c r="G272" s="37" t="n">
        <f aca="false">E272*F272</f>
        <v>2539902.72</v>
      </c>
      <c r="H272" s="38" t="n">
        <f aca="false">IFERROR(xlookup(D272,'Lookup Reference'!$A$4:$A$6,'Lookup Reference'!$C$4:$C$6),INDEX('Lookup Reference'!$C$4:$C$6,MATCH(D272,'Lookup Reference'!$A$4:$A$6,0)))</f>
        <v>0.52</v>
      </c>
      <c r="I272" s="37" t="n">
        <f aca="false">G272*H272</f>
        <v>1320749.4144</v>
      </c>
      <c r="J272" s="37" t="n">
        <f aca="false">G272-I272</f>
        <v>1219153.3056</v>
      </c>
    </row>
    <row r="273" customFormat="false" ht="15" hidden="false" customHeight="true" outlineLevel="0" collapsed="false">
      <c r="A273" s="39" t="n">
        <v>45962</v>
      </c>
      <c r="B273" s="24" t="s">
        <v>94</v>
      </c>
      <c r="C273" s="24" t="s">
        <v>70</v>
      </c>
      <c r="D273" s="24" t="s">
        <v>45</v>
      </c>
      <c r="E273" s="40" t="n">
        <v>578</v>
      </c>
      <c r="F273" s="25" t="n">
        <v>2244.25</v>
      </c>
      <c r="G273" s="41" t="n">
        <f aca="false">E273*F273</f>
        <v>1297176.5</v>
      </c>
      <c r="H273" s="42" t="n">
        <f aca="false">IFERROR(xlookup(D273,'Lookup Reference'!$A$4:$A$6,'Lookup Reference'!$C$4:$C$6),INDEX('Lookup Reference'!$C$4:$C$6,MATCH(D273,'Lookup Reference'!$A$4:$A$6,0)))</f>
        <v>0.38</v>
      </c>
      <c r="I273" s="41" t="n">
        <f aca="false">G273*H273</f>
        <v>492927.07</v>
      </c>
      <c r="J273" s="41" t="n">
        <f aca="false">G273-I273</f>
        <v>804249.43</v>
      </c>
    </row>
    <row r="274" customFormat="false" ht="15" hidden="false" customHeight="true" outlineLevel="0" collapsed="false">
      <c r="A274" s="35" t="n">
        <v>45962</v>
      </c>
      <c r="B274" s="8" t="s">
        <v>94</v>
      </c>
      <c r="C274" s="8" t="s">
        <v>71</v>
      </c>
      <c r="D274" s="8" t="s">
        <v>43</v>
      </c>
      <c r="E274" s="36" t="n">
        <v>879</v>
      </c>
      <c r="F274" s="21" t="n">
        <v>4200.09</v>
      </c>
      <c r="G274" s="37" t="n">
        <f aca="false">E274*F274</f>
        <v>3691879.11</v>
      </c>
      <c r="H274" s="38" t="n">
        <f aca="false">IFERROR(xlookup(D274,'Lookup Reference'!$A$4:$A$6,'Lookup Reference'!$C$4:$C$6),INDEX('Lookup Reference'!$C$4:$C$6,MATCH(D274,'Lookup Reference'!$A$4:$A$6,0)))</f>
        <v>0.46</v>
      </c>
      <c r="I274" s="37" t="n">
        <f aca="false">G274*H274</f>
        <v>1698264.3906</v>
      </c>
      <c r="J274" s="37" t="n">
        <f aca="false">G274-I274</f>
        <v>1993614.7194</v>
      </c>
    </row>
    <row r="275" customFormat="false" ht="15" hidden="false" customHeight="true" outlineLevel="0" collapsed="false">
      <c r="A275" s="39" t="n">
        <v>45962</v>
      </c>
      <c r="B275" s="24" t="s">
        <v>94</v>
      </c>
      <c r="C275" s="24" t="s">
        <v>71</v>
      </c>
      <c r="D275" s="24" t="s">
        <v>44</v>
      </c>
      <c r="E275" s="40" t="n">
        <v>458</v>
      </c>
      <c r="F275" s="25" t="n">
        <v>6312.55</v>
      </c>
      <c r="G275" s="41" t="n">
        <f aca="false">E275*F275</f>
        <v>2891147.9</v>
      </c>
      <c r="H275" s="42" t="n">
        <f aca="false">IFERROR(xlookup(D275,'Lookup Reference'!$A$4:$A$6,'Lookup Reference'!$C$4:$C$6),INDEX('Lookup Reference'!$C$4:$C$6,MATCH(D275,'Lookup Reference'!$A$4:$A$6,0)))</f>
        <v>0.52</v>
      </c>
      <c r="I275" s="41" t="n">
        <f aca="false">G275*H275</f>
        <v>1503396.908</v>
      </c>
      <c r="J275" s="41" t="n">
        <f aca="false">G275-I275</f>
        <v>1387750.992</v>
      </c>
    </row>
    <row r="276" customFormat="false" ht="15" hidden="false" customHeight="true" outlineLevel="0" collapsed="false">
      <c r="A276" s="35" t="n">
        <v>45962</v>
      </c>
      <c r="B276" s="8" t="s">
        <v>94</v>
      </c>
      <c r="C276" s="8" t="s">
        <v>71</v>
      </c>
      <c r="D276" s="8" t="s">
        <v>45</v>
      </c>
      <c r="E276" s="36" t="n">
        <v>631</v>
      </c>
      <c r="F276" s="21" t="n">
        <v>2347.39</v>
      </c>
      <c r="G276" s="37" t="n">
        <f aca="false">E276*F276</f>
        <v>1481203.09</v>
      </c>
      <c r="H276" s="38" t="n">
        <f aca="false">IFERROR(xlookup(D276,'Lookup Reference'!$A$4:$A$6,'Lookup Reference'!$C$4:$C$6),INDEX('Lookup Reference'!$C$4:$C$6,MATCH(D276,'Lookup Reference'!$A$4:$A$6,0)))</f>
        <v>0.38</v>
      </c>
      <c r="I276" s="37" t="n">
        <f aca="false">G276*H276</f>
        <v>562857.1742</v>
      </c>
      <c r="J276" s="37" t="n">
        <f aca="false">G276-I276</f>
        <v>918345.9158</v>
      </c>
    </row>
    <row r="277" customFormat="false" ht="15" hidden="false" customHeight="true" outlineLevel="0" collapsed="false">
      <c r="A277" s="39" t="n">
        <v>45962</v>
      </c>
      <c r="B277" s="24" t="s">
        <v>94</v>
      </c>
      <c r="C277" s="24" t="s">
        <v>72</v>
      </c>
      <c r="D277" s="24" t="s">
        <v>43</v>
      </c>
      <c r="E277" s="40" t="n">
        <v>788</v>
      </c>
      <c r="F277" s="25" t="n">
        <v>4017.68</v>
      </c>
      <c r="G277" s="41" t="n">
        <f aca="false">E277*F277</f>
        <v>3165931.84</v>
      </c>
      <c r="H277" s="42" t="n">
        <f aca="false">IFERROR(xlookup(D277,'Lookup Reference'!$A$4:$A$6,'Lookup Reference'!$C$4:$C$6),INDEX('Lookup Reference'!$C$4:$C$6,MATCH(D277,'Lookup Reference'!$A$4:$A$6,0)))</f>
        <v>0.46</v>
      </c>
      <c r="I277" s="41" t="n">
        <f aca="false">G277*H277</f>
        <v>1456328.6464</v>
      </c>
      <c r="J277" s="41" t="n">
        <f aca="false">G277-I277</f>
        <v>1709603.1936</v>
      </c>
    </row>
    <row r="278" customFormat="false" ht="15" hidden="false" customHeight="true" outlineLevel="0" collapsed="false">
      <c r="A278" s="35" t="n">
        <v>45962</v>
      </c>
      <c r="B278" s="8" t="s">
        <v>94</v>
      </c>
      <c r="C278" s="8" t="s">
        <v>72</v>
      </c>
      <c r="D278" s="8" t="s">
        <v>44</v>
      </c>
      <c r="E278" s="36" t="n">
        <v>462</v>
      </c>
      <c r="F278" s="21" t="n">
        <v>6338.34</v>
      </c>
      <c r="G278" s="37" t="n">
        <f aca="false">E278*F278</f>
        <v>2928313.08</v>
      </c>
      <c r="H278" s="38" t="n">
        <f aca="false">IFERROR(xlookup(D278,'Lookup Reference'!$A$4:$A$6,'Lookup Reference'!$C$4:$C$6),INDEX('Lookup Reference'!$C$4:$C$6,MATCH(D278,'Lookup Reference'!$A$4:$A$6,0)))</f>
        <v>0.52</v>
      </c>
      <c r="I278" s="37" t="n">
        <f aca="false">G278*H278</f>
        <v>1522722.8016</v>
      </c>
      <c r="J278" s="37" t="n">
        <f aca="false">G278-I278</f>
        <v>1405590.2784</v>
      </c>
    </row>
    <row r="279" customFormat="false" ht="15" hidden="false" customHeight="true" outlineLevel="0" collapsed="false">
      <c r="A279" s="39" t="n">
        <v>45962</v>
      </c>
      <c r="B279" s="24" t="s">
        <v>94</v>
      </c>
      <c r="C279" s="24" t="s">
        <v>72</v>
      </c>
      <c r="D279" s="24" t="s">
        <v>45</v>
      </c>
      <c r="E279" s="40" t="n">
        <v>601</v>
      </c>
      <c r="F279" s="25" t="n">
        <v>2337.84</v>
      </c>
      <c r="G279" s="41" t="n">
        <f aca="false">E279*F279</f>
        <v>1405041.84</v>
      </c>
      <c r="H279" s="42" t="n">
        <f aca="false">IFERROR(xlookup(D279,'Lookup Reference'!$A$4:$A$6,'Lookup Reference'!$C$4:$C$6),INDEX('Lookup Reference'!$C$4:$C$6,MATCH(D279,'Lookup Reference'!$A$4:$A$6,0)))</f>
        <v>0.38</v>
      </c>
      <c r="I279" s="41" t="n">
        <f aca="false">G279*H279</f>
        <v>533915.8992</v>
      </c>
      <c r="J279" s="41" t="n">
        <f aca="false">G279-I279</f>
        <v>871125.9408</v>
      </c>
    </row>
    <row r="280" customFormat="false" ht="15" hidden="false" customHeight="true" outlineLevel="0" collapsed="false">
      <c r="A280" s="35" t="n">
        <v>45992</v>
      </c>
      <c r="B280" s="8" t="s">
        <v>95</v>
      </c>
      <c r="C280" s="8" t="s">
        <v>69</v>
      </c>
      <c r="D280" s="8" t="s">
        <v>43</v>
      </c>
      <c r="E280" s="36" t="n">
        <v>783</v>
      </c>
      <c r="F280" s="21" t="n">
        <v>4138.97</v>
      </c>
      <c r="G280" s="37" t="n">
        <f aca="false">E280*F280</f>
        <v>3240813.51</v>
      </c>
      <c r="H280" s="38" t="n">
        <f aca="false">IFERROR(xlookup(D280,'Lookup Reference'!$A$4:$A$6,'Lookup Reference'!$C$4:$C$6),INDEX('Lookup Reference'!$C$4:$C$6,MATCH(D280,'Lookup Reference'!$A$4:$A$6,0)))</f>
        <v>0.46</v>
      </c>
      <c r="I280" s="37" t="n">
        <f aca="false">G280*H280</f>
        <v>1490774.2146</v>
      </c>
      <c r="J280" s="37" t="n">
        <f aca="false">G280-I280</f>
        <v>1750039.2954</v>
      </c>
    </row>
    <row r="281" customFormat="false" ht="15" hidden="false" customHeight="true" outlineLevel="0" collapsed="false">
      <c r="A281" s="39" t="n">
        <v>45992</v>
      </c>
      <c r="B281" s="24" t="s">
        <v>95</v>
      </c>
      <c r="C281" s="24" t="s">
        <v>69</v>
      </c>
      <c r="D281" s="24" t="s">
        <v>44</v>
      </c>
      <c r="E281" s="40" t="n">
        <v>581</v>
      </c>
      <c r="F281" s="25" t="n">
        <v>6611.47</v>
      </c>
      <c r="G281" s="41" t="n">
        <f aca="false">E281*F281</f>
        <v>3841264.07</v>
      </c>
      <c r="H281" s="42" t="n">
        <f aca="false">IFERROR(xlookup(D281,'Lookup Reference'!$A$4:$A$6,'Lookup Reference'!$C$4:$C$6),INDEX('Lookup Reference'!$C$4:$C$6,MATCH(D281,'Lookup Reference'!$A$4:$A$6,0)))</f>
        <v>0.52</v>
      </c>
      <c r="I281" s="41" t="n">
        <f aca="false">G281*H281</f>
        <v>1997457.3164</v>
      </c>
      <c r="J281" s="41" t="n">
        <f aca="false">G281-I281</f>
        <v>1843806.7536</v>
      </c>
    </row>
    <row r="282" customFormat="false" ht="15" hidden="false" customHeight="true" outlineLevel="0" collapsed="false">
      <c r="A282" s="35" t="n">
        <v>45992</v>
      </c>
      <c r="B282" s="8" t="s">
        <v>95</v>
      </c>
      <c r="C282" s="8" t="s">
        <v>69</v>
      </c>
      <c r="D282" s="8" t="s">
        <v>45</v>
      </c>
      <c r="E282" s="36" t="n">
        <v>637</v>
      </c>
      <c r="F282" s="21" t="n">
        <v>2403.74</v>
      </c>
      <c r="G282" s="37" t="n">
        <f aca="false">E282*F282</f>
        <v>1531182.38</v>
      </c>
      <c r="H282" s="38" t="n">
        <f aca="false">IFERROR(xlookup(D282,'Lookup Reference'!$A$4:$A$6,'Lookup Reference'!$C$4:$C$6),INDEX('Lookup Reference'!$C$4:$C$6,MATCH(D282,'Lookup Reference'!$A$4:$A$6,0)))</f>
        <v>0.38</v>
      </c>
      <c r="I282" s="37" t="n">
        <f aca="false">G282*H282</f>
        <v>581849.3044</v>
      </c>
      <c r="J282" s="37" t="n">
        <f aca="false">G282-I282</f>
        <v>949333.0756</v>
      </c>
    </row>
    <row r="283" customFormat="false" ht="15" hidden="false" customHeight="true" outlineLevel="0" collapsed="false">
      <c r="A283" s="39" t="n">
        <v>45992</v>
      </c>
      <c r="B283" s="24" t="s">
        <v>95</v>
      </c>
      <c r="C283" s="24" t="s">
        <v>70</v>
      </c>
      <c r="D283" s="24" t="s">
        <v>43</v>
      </c>
      <c r="E283" s="40" t="n">
        <v>813</v>
      </c>
      <c r="F283" s="25" t="n">
        <v>4002.4</v>
      </c>
      <c r="G283" s="41" t="n">
        <f aca="false">E283*F283</f>
        <v>3253951.2</v>
      </c>
      <c r="H283" s="42" t="n">
        <f aca="false">IFERROR(xlookup(D283,'Lookup Reference'!$A$4:$A$6,'Lookup Reference'!$C$4:$C$6),INDEX('Lookup Reference'!$C$4:$C$6,MATCH(D283,'Lookup Reference'!$A$4:$A$6,0)))</f>
        <v>0.46</v>
      </c>
      <c r="I283" s="41" t="n">
        <f aca="false">G283*H283</f>
        <v>1496817.552</v>
      </c>
      <c r="J283" s="41" t="n">
        <f aca="false">G283-I283</f>
        <v>1757133.648</v>
      </c>
    </row>
    <row r="284" customFormat="false" ht="15" hidden="false" customHeight="true" outlineLevel="0" collapsed="false">
      <c r="A284" s="35" t="n">
        <v>45992</v>
      </c>
      <c r="B284" s="8" t="s">
        <v>95</v>
      </c>
      <c r="C284" s="8" t="s">
        <v>70</v>
      </c>
      <c r="D284" s="8" t="s">
        <v>44</v>
      </c>
      <c r="E284" s="36" t="n">
        <v>463</v>
      </c>
      <c r="F284" s="21" t="n">
        <v>6492.09</v>
      </c>
      <c r="G284" s="37" t="n">
        <f aca="false">E284*F284</f>
        <v>3005837.67</v>
      </c>
      <c r="H284" s="38" t="n">
        <f aca="false">IFERROR(xlookup(D284,'Lookup Reference'!$A$4:$A$6,'Lookup Reference'!$C$4:$C$6),INDEX('Lookup Reference'!$C$4:$C$6,MATCH(D284,'Lookup Reference'!$A$4:$A$6,0)))</f>
        <v>0.52</v>
      </c>
      <c r="I284" s="37" t="n">
        <f aca="false">G284*H284</f>
        <v>1563035.5884</v>
      </c>
      <c r="J284" s="37" t="n">
        <f aca="false">G284-I284</f>
        <v>1442802.0816</v>
      </c>
    </row>
    <row r="285" customFormat="false" ht="15" hidden="false" customHeight="true" outlineLevel="0" collapsed="false">
      <c r="A285" s="39" t="n">
        <v>45992</v>
      </c>
      <c r="B285" s="24" t="s">
        <v>95</v>
      </c>
      <c r="C285" s="24" t="s">
        <v>70</v>
      </c>
      <c r="D285" s="24" t="s">
        <v>45</v>
      </c>
      <c r="E285" s="40" t="n">
        <v>617</v>
      </c>
      <c r="F285" s="25" t="n">
        <v>2286.27</v>
      </c>
      <c r="G285" s="41" t="n">
        <f aca="false">E285*F285</f>
        <v>1410628.59</v>
      </c>
      <c r="H285" s="42" t="n">
        <f aca="false">IFERROR(xlookup(D285,'Lookup Reference'!$A$4:$A$6,'Lookup Reference'!$C$4:$C$6),INDEX('Lookup Reference'!$C$4:$C$6,MATCH(D285,'Lookup Reference'!$A$4:$A$6,0)))</f>
        <v>0.38</v>
      </c>
      <c r="I285" s="41" t="n">
        <f aca="false">G285*H285</f>
        <v>536038.8642</v>
      </c>
      <c r="J285" s="41" t="n">
        <f aca="false">G285-I285</f>
        <v>874589.7258</v>
      </c>
    </row>
    <row r="286" customFormat="false" ht="15" hidden="false" customHeight="true" outlineLevel="0" collapsed="false">
      <c r="A286" s="35" t="n">
        <v>45992</v>
      </c>
      <c r="B286" s="8" t="s">
        <v>95</v>
      </c>
      <c r="C286" s="8" t="s">
        <v>71</v>
      </c>
      <c r="D286" s="8" t="s">
        <v>43</v>
      </c>
      <c r="E286" s="36" t="n">
        <v>999</v>
      </c>
      <c r="F286" s="21" t="n">
        <v>4154.25</v>
      </c>
      <c r="G286" s="37" t="n">
        <f aca="false">E286*F286</f>
        <v>4150095.75</v>
      </c>
      <c r="H286" s="38" t="n">
        <f aca="false">IFERROR(xlookup(D286,'Lookup Reference'!$A$4:$A$6,'Lookup Reference'!$C$4:$C$6),INDEX('Lookup Reference'!$C$4:$C$6,MATCH(D286,'Lookup Reference'!$A$4:$A$6,0)))</f>
        <v>0.46</v>
      </c>
      <c r="I286" s="37" t="n">
        <f aca="false">G286*H286</f>
        <v>1909044.045</v>
      </c>
      <c r="J286" s="37" t="n">
        <f aca="false">G286-I286</f>
        <v>2241051.705</v>
      </c>
    </row>
    <row r="287" customFormat="false" ht="15" hidden="false" customHeight="true" outlineLevel="0" collapsed="false">
      <c r="A287" s="39" t="n">
        <v>45992</v>
      </c>
      <c r="B287" s="24" t="s">
        <v>95</v>
      </c>
      <c r="C287" s="24" t="s">
        <v>71</v>
      </c>
      <c r="D287" s="24" t="s">
        <v>44</v>
      </c>
      <c r="E287" s="40" t="n">
        <v>516</v>
      </c>
      <c r="F287" s="25" t="n">
        <v>6798.64</v>
      </c>
      <c r="G287" s="41" t="n">
        <f aca="false">E287*F287</f>
        <v>3508098.24</v>
      </c>
      <c r="H287" s="42" t="n">
        <f aca="false">IFERROR(xlookup(D287,'Lookup Reference'!$A$4:$A$6,'Lookup Reference'!$C$4:$C$6),INDEX('Lookup Reference'!$C$4:$C$6,MATCH(D287,'Lookup Reference'!$A$4:$A$6,0)))</f>
        <v>0.52</v>
      </c>
      <c r="I287" s="41" t="n">
        <f aca="false">G287*H287</f>
        <v>1824211.0848</v>
      </c>
      <c r="J287" s="41" t="n">
        <f aca="false">G287-I287</f>
        <v>1683887.1552</v>
      </c>
    </row>
    <row r="288" customFormat="false" ht="15" hidden="false" customHeight="true" outlineLevel="0" collapsed="false">
      <c r="A288" s="35" t="n">
        <v>45992</v>
      </c>
      <c r="B288" s="8" t="s">
        <v>95</v>
      </c>
      <c r="C288" s="8" t="s">
        <v>71</v>
      </c>
      <c r="D288" s="8" t="s">
        <v>45</v>
      </c>
      <c r="E288" s="36" t="n">
        <v>770</v>
      </c>
      <c r="F288" s="21" t="n">
        <v>2375.09</v>
      </c>
      <c r="G288" s="37" t="n">
        <f aca="false">E288*F288</f>
        <v>1828819.3</v>
      </c>
      <c r="H288" s="38" t="n">
        <f aca="false">IFERROR(xlookup(D288,'Lookup Reference'!$A$4:$A$6,'Lookup Reference'!$C$4:$C$6),INDEX('Lookup Reference'!$C$4:$C$6,MATCH(D288,'Lookup Reference'!$A$4:$A$6,0)))</f>
        <v>0.38</v>
      </c>
      <c r="I288" s="37" t="n">
        <f aca="false">G288*H288</f>
        <v>694951.334</v>
      </c>
      <c r="J288" s="37" t="n">
        <f aca="false">G288-I288</f>
        <v>1133867.966</v>
      </c>
    </row>
    <row r="289" customFormat="false" ht="15" hidden="false" customHeight="true" outlineLevel="0" collapsed="false">
      <c r="A289" s="39" t="n">
        <v>45992</v>
      </c>
      <c r="B289" s="24" t="s">
        <v>95</v>
      </c>
      <c r="C289" s="24" t="s">
        <v>72</v>
      </c>
      <c r="D289" s="24" t="s">
        <v>43</v>
      </c>
      <c r="E289" s="40" t="n">
        <v>841</v>
      </c>
      <c r="F289" s="25" t="n">
        <v>4030.1</v>
      </c>
      <c r="G289" s="41" t="n">
        <f aca="false">E289*F289</f>
        <v>3389314.1</v>
      </c>
      <c r="H289" s="42" t="n">
        <f aca="false">IFERROR(xlookup(D289,'Lookup Reference'!$A$4:$A$6,'Lookup Reference'!$C$4:$C$6),INDEX('Lookup Reference'!$C$4:$C$6,MATCH(D289,'Lookup Reference'!$A$4:$A$6,0)))</f>
        <v>0.46</v>
      </c>
      <c r="I289" s="41" t="n">
        <f aca="false">G289*H289</f>
        <v>1559084.486</v>
      </c>
      <c r="J289" s="41" t="n">
        <f aca="false">G289-I289</f>
        <v>1830229.614</v>
      </c>
    </row>
    <row r="290" customFormat="false" ht="15" hidden="false" customHeight="true" outlineLevel="0" collapsed="false">
      <c r="A290" s="35" t="n">
        <v>45992</v>
      </c>
      <c r="B290" s="8" t="s">
        <v>95</v>
      </c>
      <c r="C290" s="8" t="s">
        <v>72</v>
      </c>
      <c r="D290" s="8" t="s">
        <v>44</v>
      </c>
      <c r="E290" s="36" t="n">
        <v>524</v>
      </c>
      <c r="F290" s="21" t="n">
        <v>6800.55</v>
      </c>
      <c r="G290" s="37" t="n">
        <f aca="false">E290*F290</f>
        <v>3563488.2</v>
      </c>
      <c r="H290" s="38" t="n">
        <f aca="false">IFERROR(xlookup(D290,'Lookup Reference'!$A$4:$A$6,'Lookup Reference'!$C$4:$C$6),INDEX('Lookup Reference'!$C$4:$C$6,MATCH(D290,'Lookup Reference'!$A$4:$A$6,0)))</f>
        <v>0.52</v>
      </c>
      <c r="I290" s="37" t="n">
        <f aca="false">G290*H290</f>
        <v>1853013.864</v>
      </c>
      <c r="J290" s="37" t="n">
        <f aca="false">G290-I290</f>
        <v>1710474.336</v>
      </c>
    </row>
    <row r="291" customFormat="false" ht="15" hidden="false" customHeight="true" outlineLevel="0" collapsed="false">
      <c r="A291" s="39" t="n">
        <v>45992</v>
      </c>
      <c r="B291" s="24" t="s">
        <v>95</v>
      </c>
      <c r="C291" s="24" t="s">
        <v>72</v>
      </c>
      <c r="D291" s="24" t="s">
        <v>45</v>
      </c>
      <c r="E291" s="40" t="n">
        <v>613</v>
      </c>
      <c r="F291" s="25" t="n">
        <v>2371.26</v>
      </c>
      <c r="G291" s="41" t="n">
        <f aca="false">E291*F291</f>
        <v>1453582.38</v>
      </c>
      <c r="H291" s="42" t="n">
        <f aca="false">IFERROR(xlookup(D291,'Lookup Reference'!$A$4:$A$6,'Lookup Reference'!$C$4:$C$6),INDEX('Lookup Reference'!$C$4:$C$6,MATCH(D291,'Lookup Reference'!$A$4:$A$6,0)))</f>
        <v>0.38</v>
      </c>
      <c r="I291" s="41" t="n">
        <f aca="false">G291*H291</f>
        <v>552361.3044</v>
      </c>
      <c r="J291" s="41" t="n">
        <f aca="false">G291-I291</f>
        <v>901221.0756</v>
      </c>
    </row>
  </sheetData>
  <mergeCells count="1">
    <mergeCell ref="A1:J1"/>
  </mergeCells>
  <dataValidations count="2">
    <dataValidation allowBlank="false" errorStyle="stop" operator="between" showDropDown="false" showErrorMessage="false" showInputMessage="false" sqref="C4:C291" type="list">
      <formula1>"North,South,East,West"</formula1>
      <formula2>0</formula2>
    </dataValidation>
    <dataValidation allowBlank="false" errorStyle="stop" operator="between" showDropDown="false" showErrorMessage="false" showInputMessage="false" sqref="D4:D291" type="list">
      <formula1>"Apparel,Footwear,Accessories"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7"/>
    <col collapsed="false" customWidth="true" hidden="false" outlineLevel="0" max="4" min="4" style="1" width="16"/>
    <col collapsed="false" customWidth="true" hidden="false" outlineLevel="0" max="5" min="5" style="1" width="17"/>
    <col collapsed="false" customWidth="true" hidden="false" outlineLevel="0" max="7" min="6" style="1" width="14"/>
    <col collapsed="false" customWidth="true" hidden="false" outlineLevel="0" max="8" min="8" style="1" width="19"/>
  </cols>
  <sheetData>
    <row r="1" customFormat="false" ht="33.75" hidden="false" customHeight="true" outlineLevel="0" collapsed="false">
      <c r="A1" s="2" t="s">
        <v>96</v>
      </c>
      <c r="B1" s="2"/>
      <c r="C1" s="2"/>
      <c r="D1" s="2"/>
      <c r="E1" s="2"/>
      <c r="F1" s="2"/>
      <c r="G1" s="2"/>
      <c r="H1" s="2"/>
    </row>
    <row r="3" customFormat="false" ht="21.75" hidden="false" customHeight="true" outlineLevel="0" collapsed="false">
      <c r="A3" s="20" t="s">
        <v>61</v>
      </c>
      <c r="B3" s="20" t="s">
        <v>63</v>
      </c>
      <c r="C3" s="20" t="s">
        <v>65</v>
      </c>
      <c r="D3" s="20" t="s">
        <v>66</v>
      </c>
      <c r="E3" s="20" t="s">
        <v>67</v>
      </c>
      <c r="F3" s="20" t="s">
        <v>97</v>
      </c>
      <c r="G3" s="20" t="s">
        <v>98</v>
      </c>
      <c r="H3" s="20" t="s">
        <v>99</v>
      </c>
    </row>
    <row r="4" customFormat="false" ht="15" hidden="false" customHeight="true" outlineLevel="0" collapsed="false">
      <c r="A4" s="8" t="s">
        <v>68</v>
      </c>
      <c r="B4" s="43" t="n">
        <f aca="false">SUMIF('Sales Data'!$B$4:$B$291,$A4,'Sales Data'!$E$4:$E$291)</f>
        <v>3623</v>
      </c>
      <c r="C4" s="44" t="n">
        <f aca="false">SUMIF('Sales Data'!$B$4:$B$291,$A4,'Sales Data'!$G$4:$G$291)</f>
        <v>14716127.11</v>
      </c>
      <c r="D4" s="44" t="n">
        <f aca="false">SUMIF('Sales Data'!$B$4:$B$291,$A4,'Sales Data'!$I$4:$I$291)</f>
        <v>6915750.479</v>
      </c>
      <c r="E4" s="44" t="n">
        <f aca="false">C4-D4</f>
        <v>7800376.631</v>
      </c>
      <c r="F4" s="23" t="n">
        <f aca="false">IF(C4=0,"-",E4/C4)</f>
        <v>0.530056350607317</v>
      </c>
      <c r="G4" s="8" t="s">
        <v>100</v>
      </c>
      <c r="H4" s="8" t="s">
        <v>100</v>
      </c>
    </row>
    <row r="5" customFormat="false" ht="15" hidden="false" customHeight="true" outlineLevel="0" collapsed="false">
      <c r="A5" s="24" t="s">
        <v>73</v>
      </c>
      <c r="B5" s="45" t="n">
        <f aca="false">SUMIF('Sales Data'!$B$4:$B$291,$A5,'Sales Data'!$E$4:$E$291)</f>
        <v>3598</v>
      </c>
      <c r="C5" s="46" t="n">
        <f aca="false">SUMIF('Sales Data'!$B$4:$B$291,$A5,'Sales Data'!$G$4:$G$291)</f>
        <v>14687445.2</v>
      </c>
      <c r="D5" s="46" t="n">
        <f aca="false">SUMIF('Sales Data'!$B$4:$B$291,$A5,'Sales Data'!$I$4:$I$291)</f>
        <v>6885321.5304</v>
      </c>
      <c r="E5" s="46" t="n">
        <f aca="false">C5-D5</f>
        <v>7802123.6696</v>
      </c>
      <c r="F5" s="27" t="n">
        <f aca="false">IF(C5=0,"-",E5/C5)</f>
        <v>0.531210402037789</v>
      </c>
      <c r="G5" s="24" t="s">
        <v>100</v>
      </c>
      <c r="H5" s="24" t="s">
        <v>100</v>
      </c>
    </row>
    <row r="6" customFormat="false" ht="15" hidden="false" customHeight="true" outlineLevel="0" collapsed="false">
      <c r="A6" s="8" t="s">
        <v>74</v>
      </c>
      <c r="B6" s="43" t="n">
        <f aca="false">SUMIF('Sales Data'!$B$4:$B$291,$A6,'Sales Data'!$E$4:$E$291)</f>
        <v>4134</v>
      </c>
      <c r="C6" s="44" t="n">
        <f aca="false">SUMIF('Sales Data'!$B$4:$B$291,$A6,'Sales Data'!$G$4:$G$291)</f>
        <v>16988765.87</v>
      </c>
      <c r="D6" s="44" t="n">
        <f aca="false">SUMIF('Sales Data'!$B$4:$B$291,$A6,'Sales Data'!$I$4:$I$291)</f>
        <v>7961953.5188</v>
      </c>
      <c r="E6" s="44" t="n">
        <f aca="false">C6-D6</f>
        <v>9026812.3512</v>
      </c>
      <c r="F6" s="23" t="n">
        <f aca="false">IF(C6=0,"-",E6/C6)</f>
        <v>0.531340087930707</v>
      </c>
      <c r="G6" s="8" t="s">
        <v>100</v>
      </c>
      <c r="H6" s="47" t="n">
        <f aca="false">AVERAGE(C4:C6)</f>
        <v>15464112.7266667</v>
      </c>
    </row>
    <row r="7" customFormat="false" ht="15" hidden="false" customHeight="true" outlineLevel="0" collapsed="false">
      <c r="A7" s="24" t="s">
        <v>75</v>
      </c>
      <c r="B7" s="45" t="n">
        <f aca="false">SUMIF('Sales Data'!$B$4:$B$291,$A7,'Sales Data'!$E$4:$E$291)</f>
        <v>4424</v>
      </c>
      <c r="C7" s="46" t="n">
        <f aca="false">SUMIF('Sales Data'!$B$4:$B$291,$A7,'Sales Data'!$G$4:$G$291)</f>
        <v>18260180.95</v>
      </c>
      <c r="D7" s="46" t="n">
        <f aca="false">SUMIF('Sales Data'!$B$4:$B$291,$A7,'Sales Data'!$I$4:$I$291)</f>
        <v>8601815.0238</v>
      </c>
      <c r="E7" s="46" t="n">
        <f aca="false">C7-D7</f>
        <v>9658365.9262</v>
      </c>
      <c r="F7" s="27" t="n">
        <f aca="false">IF(C7=0,"-",E7/C7)</f>
        <v>0.528930460910904</v>
      </c>
      <c r="G7" s="24" t="s">
        <v>100</v>
      </c>
      <c r="H7" s="48" t="n">
        <f aca="false">AVERAGE(C5:C7)</f>
        <v>16645464.0066667</v>
      </c>
    </row>
    <row r="8" customFormat="false" ht="15" hidden="false" customHeight="true" outlineLevel="0" collapsed="false">
      <c r="A8" s="8" t="s">
        <v>76</v>
      </c>
      <c r="B8" s="43" t="n">
        <f aca="false">SUMIF('Sales Data'!$B$4:$B$291,$A8,'Sales Data'!$E$4:$E$291)</f>
        <v>4779</v>
      </c>
      <c r="C8" s="44" t="n">
        <f aca="false">SUMIF('Sales Data'!$B$4:$B$291,$A8,'Sales Data'!$G$4:$G$291)</f>
        <v>20020429.14</v>
      </c>
      <c r="D8" s="44" t="n">
        <f aca="false">SUMIF('Sales Data'!$B$4:$B$291,$A8,'Sales Data'!$I$4:$I$291)</f>
        <v>9424080.4432</v>
      </c>
      <c r="E8" s="44" t="n">
        <f aca="false">C8-D8</f>
        <v>10596348.6968</v>
      </c>
      <c r="F8" s="23" t="n">
        <f aca="false">IF(C8=0,"-",E8/C8)</f>
        <v>0.529276801346327</v>
      </c>
      <c r="G8" s="8" t="s">
        <v>100</v>
      </c>
      <c r="H8" s="47" t="n">
        <f aca="false">AVERAGE(C6:C8)</f>
        <v>18423125.32</v>
      </c>
    </row>
    <row r="9" customFormat="false" ht="15" hidden="false" customHeight="true" outlineLevel="0" collapsed="false">
      <c r="A9" s="24" t="s">
        <v>77</v>
      </c>
      <c r="B9" s="45" t="n">
        <f aca="false">SUMIF('Sales Data'!$B$4:$B$291,$A9,'Sales Data'!$E$4:$E$291)</f>
        <v>4914</v>
      </c>
      <c r="C9" s="46" t="n">
        <f aca="false">SUMIF('Sales Data'!$B$4:$B$291,$A9,'Sales Data'!$G$4:$G$291)</f>
        <v>20637439.84</v>
      </c>
      <c r="D9" s="46" t="n">
        <f aca="false">SUMIF('Sales Data'!$B$4:$B$291,$A9,'Sales Data'!$I$4:$I$291)</f>
        <v>9719268.2056</v>
      </c>
      <c r="E9" s="46" t="n">
        <f aca="false">C9-D9</f>
        <v>10918171.6344</v>
      </c>
      <c r="F9" s="27" t="n">
        <f aca="false">IF(C9=0,"-",E9/C9)</f>
        <v>0.529046806146862</v>
      </c>
      <c r="G9" s="24" t="s">
        <v>100</v>
      </c>
      <c r="H9" s="48" t="n">
        <f aca="false">AVERAGE(C7:C9)</f>
        <v>19639349.9766667</v>
      </c>
    </row>
    <row r="10" customFormat="false" ht="15" hidden="false" customHeight="true" outlineLevel="0" collapsed="false">
      <c r="A10" s="8" t="s">
        <v>78</v>
      </c>
      <c r="B10" s="43" t="n">
        <f aca="false">SUMIF('Sales Data'!$B$4:$B$291,$A10,'Sales Data'!$E$4:$E$291)</f>
        <v>4806</v>
      </c>
      <c r="C10" s="44" t="n">
        <f aca="false">SUMIF('Sales Data'!$B$4:$B$291,$A10,'Sales Data'!$G$4:$G$291)</f>
        <v>19973819.87</v>
      </c>
      <c r="D10" s="44" t="n">
        <f aca="false">SUMIF('Sales Data'!$B$4:$B$291,$A10,'Sales Data'!$I$4:$I$291)</f>
        <v>9400897.6798</v>
      </c>
      <c r="E10" s="44" t="n">
        <f aca="false">C10-D10</f>
        <v>10572922.1902</v>
      </c>
      <c r="F10" s="23" t="n">
        <f aca="false">IF(C10=0,"-",E10/C10)</f>
        <v>0.529339017724906</v>
      </c>
      <c r="G10" s="8" t="s">
        <v>100</v>
      </c>
      <c r="H10" s="47" t="n">
        <f aca="false">AVERAGE(C8:C10)</f>
        <v>20210562.95</v>
      </c>
    </row>
    <row r="11" customFormat="false" ht="15" hidden="false" customHeight="true" outlineLevel="0" collapsed="false">
      <c r="A11" s="24" t="s">
        <v>79</v>
      </c>
      <c r="B11" s="45" t="n">
        <f aca="false">SUMIF('Sales Data'!$B$4:$B$291,$A11,'Sales Data'!$E$4:$E$291)</f>
        <v>4791</v>
      </c>
      <c r="C11" s="46" t="n">
        <f aca="false">SUMIF('Sales Data'!$B$4:$B$291,$A11,'Sales Data'!$G$4:$G$291)</f>
        <v>19598396.58</v>
      </c>
      <c r="D11" s="46" t="n">
        <f aca="false">SUMIF('Sales Data'!$B$4:$B$291,$A11,'Sales Data'!$I$4:$I$291)</f>
        <v>9207521.813</v>
      </c>
      <c r="E11" s="46" t="n">
        <f aca="false">C11-D11</f>
        <v>10390874.767</v>
      </c>
      <c r="F11" s="27" t="n">
        <f aca="false">IF(C11=0,"-",E11/C11)</f>
        <v>0.530190045118477</v>
      </c>
      <c r="G11" s="24" t="s">
        <v>100</v>
      </c>
      <c r="H11" s="48" t="n">
        <f aca="false">AVERAGE(C9:C11)</f>
        <v>20069885.43</v>
      </c>
    </row>
    <row r="12" customFormat="false" ht="15" hidden="false" customHeight="true" outlineLevel="0" collapsed="false">
      <c r="A12" s="8" t="s">
        <v>80</v>
      </c>
      <c r="B12" s="43" t="n">
        <f aca="false">SUMIF('Sales Data'!$B$4:$B$291,$A12,'Sales Data'!$E$4:$E$291)</f>
        <v>4765</v>
      </c>
      <c r="C12" s="44" t="n">
        <f aca="false">SUMIF('Sales Data'!$B$4:$B$291,$A12,'Sales Data'!$G$4:$G$291)</f>
        <v>19680423.52</v>
      </c>
      <c r="D12" s="44" t="n">
        <f aca="false">SUMIF('Sales Data'!$B$4:$B$291,$A12,'Sales Data'!$I$4:$I$291)</f>
        <v>9229207.3266</v>
      </c>
      <c r="E12" s="44" t="n">
        <f aca="false">C12-D12</f>
        <v>10451216.1934</v>
      </c>
      <c r="F12" s="23" t="n">
        <f aca="false">IF(C12=0,"-",E12/C12)</f>
        <v>0.531046305115288</v>
      </c>
      <c r="G12" s="8" t="s">
        <v>100</v>
      </c>
      <c r="H12" s="47" t="n">
        <f aca="false">AVERAGE(C10:C12)</f>
        <v>19750879.99</v>
      </c>
    </row>
    <row r="13" customFormat="false" ht="15" hidden="false" customHeight="true" outlineLevel="0" collapsed="false">
      <c r="A13" s="24" t="s">
        <v>81</v>
      </c>
      <c r="B13" s="45" t="n">
        <f aca="false">SUMIF('Sales Data'!$B$4:$B$291,$A13,'Sales Data'!$E$4:$E$291)</f>
        <v>5156</v>
      </c>
      <c r="C13" s="46" t="n">
        <f aca="false">SUMIF('Sales Data'!$B$4:$B$291,$A13,'Sales Data'!$G$4:$G$291)</f>
        <v>20943315.89</v>
      </c>
      <c r="D13" s="46" t="n">
        <f aca="false">SUMIF('Sales Data'!$B$4:$B$291,$A13,'Sales Data'!$I$4:$I$291)</f>
        <v>9783078.8828</v>
      </c>
      <c r="E13" s="46" t="n">
        <f aca="false">C13-D13</f>
        <v>11160237.0072</v>
      </c>
      <c r="F13" s="27" t="n">
        <f aca="false">IF(C13=0,"-",E13/C13)</f>
        <v>0.532878225483329</v>
      </c>
      <c r="G13" s="24" t="s">
        <v>100</v>
      </c>
      <c r="H13" s="48" t="n">
        <f aca="false">AVERAGE(C11:C13)</f>
        <v>20074045.33</v>
      </c>
    </row>
    <row r="14" customFormat="false" ht="15" hidden="false" customHeight="true" outlineLevel="0" collapsed="false">
      <c r="A14" s="8" t="s">
        <v>82</v>
      </c>
      <c r="B14" s="43" t="n">
        <f aca="false">SUMIF('Sales Data'!$B$4:$B$291,$A14,'Sales Data'!$E$4:$E$291)</f>
        <v>6061</v>
      </c>
      <c r="C14" s="44" t="n">
        <f aca="false">SUMIF('Sales Data'!$B$4:$B$291,$A14,'Sales Data'!$G$4:$G$291)</f>
        <v>25744746.19</v>
      </c>
      <c r="D14" s="44" t="n">
        <f aca="false">SUMIF('Sales Data'!$B$4:$B$291,$A14,'Sales Data'!$I$4:$I$291)</f>
        <v>12166720.9756</v>
      </c>
      <c r="E14" s="44" t="n">
        <f aca="false">C14-D14</f>
        <v>13578025.2144</v>
      </c>
      <c r="F14" s="23" t="n">
        <f aca="false">IF(C14=0,"-",E14/C14)</f>
        <v>0.527409558214021</v>
      </c>
      <c r="G14" s="8" t="s">
        <v>100</v>
      </c>
      <c r="H14" s="47" t="n">
        <f aca="false">AVERAGE(C12:C14)</f>
        <v>22122828.5333333</v>
      </c>
    </row>
    <row r="15" customFormat="false" ht="15" hidden="false" customHeight="true" outlineLevel="0" collapsed="false">
      <c r="A15" s="24" t="s">
        <v>83</v>
      </c>
      <c r="B15" s="45" t="n">
        <f aca="false">SUMIF('Sales Data'!$B$4:$B$291,$A15,'Sales Data'!$E$4:$E$291)</f>
        <v>7163</v>
      </c>
      <c r="C15" s="46" t="n">
        <f aca="false">SUMIF('Sales Data'!$B$4:$B$291,$A15,'Sales Data'!$G$4:$G$291)</f>
        <v>29473008.57</v>
      </c>
      <c r="D15" s="46" t="n">
        <f aca="false">SUMIF('Sales Data'!$B$4:$B$291,$A15,'Sales Data'!$I$4:$I$291)</f>
        <v>13853068.0322</v>
      </c>
      <c r="E15" s="46" t="n">
        <f aca="false">C15-D15</f>
        <v>15619940.5378</v>
      </c>
      <c r="F15" s="27" t="n">
        <f aca="false">IF(C15=0,"-",E15/C15)</f>
        <v>0.5299744171248</v>
      </c>
      <c r="G15" s="24" t="s">
        <v>100</v>
      </c>
      <c r="H15" s="48" t="n">
        <f aca="false">AVERAGE(C13:C15)</f>
        <v>25387023.55</v>
      </c>
    </row>
    <row r="16" customFormat="false" ht="15" hidden="false" customHeight="true" outlineLevel="0" collapsed="false">
      <c r="A16" s="8" t="s">
        <v>84</v>
      </c>
      <c r="B16" s="43" t="n">
        <f aca="false">SUMIF('Sales Data'!$B$4:$B$291,$A16,'Sales Data'!$E$4:$E$291)</f>
        <v>4208</v>
      </c>
      <c r="C16" s="44" t="n">
        <f aca="false">SUMIF('Sales Data'!$B$4:$B$291,$A16,'Sales Data'!$G$4:$G$291)</f>
        <v>17380627.16</v>
      </c>
      <c r="D16" s="44" t="n">
        <f aca="false">SUMIF('Sales Data'!$B$4:$B$291,$A16,'Sales Data'!$I$4:$I$291)</f>
        <v>8167772.7124</v>
      </c>
      <c r="E16" s="44" t="n">
        <f aca="false">C16-D16</f>
        <v>9212854.4476</v>
      </c>
      <c r="F16" s="23" t="n">
        <f aca="false">IF(C16=0,"-",E16/C16)</f>
        <v>0.530064557670426</v>
      </c>
      <c r="G16" s="49" t="n">
        <f aca="false">IF(C4=0,"-",(C16-C4)/C4)</f>
        <v>0.181059869222616</v>
      </c>
      <c r="H16" s="47" t="n">
        <f aca="false">AVERAGE(C14:C16)</f>
        <v>24199460.64</v>
      </c>
    </row>
    <row r="17" customFormat="false" ht="15" hidden="false" customHeight="true" outlineLevel="0" collapsed="false">
      <c r="A17" s="24" t="s">
        <v>85</v>
      </c>
      <c r="B17" s="45" t="n">
        <f aca="false">SUMIF('Sales Data'!$B$4:$B$291,$A17,'Sales Data'!$E$4:$E$291)</f>
        <v>4118</v>
      </c>
      <c r="C17" s="46" t="n">
        <f aca="false">SUMIF('Sales Data'!$B$4:$B$291,$A17,'Sales Data'!$G$4:$G$291)</f>
        <v>17119732.4</v>
      </c>
      <c r="D17" s="46" t="n">
        <f aca="false">SUMIF('Sales Data'!$B$4:$B$291,$A17,'Sales Data'!$I$4:$I$291)</f>
        <v>8037895.7708</v>
      </c>
      <c r="E17" s="46" t="n">
        <f aca="false">C17-D17</f>
        <v>9081836.6292</v>
      </c>
      <c r="F17" s="27" t="n">
        <f aca="false">IF(C17=0,"-",E17/C17)</f>
        <v>0.530489403514275</v>
      </c>
      <c r="G17" s="50" t="n">
        <f aca="false">IF(C5=0,"-",(C17-C5)/C5)</f>
        <v>0.165603150641883</v>
      </c>
      <c r="H17" s="48" t="n">
        <f aca="false">AVERAGE(C15:C17)</f>
        <v>21324456.0433333</v>
      </c>
    </row>
    <row r="18" customFormat="false" ht="15" hidden="false" customHeight="true" outlineLevel="0" collapsed="false">
      <c r="A18" s="8" t="s">
        <v>86</v>
      </c>
      <c r="B18" s="43" t="n">
        <f aca="false">SUMIF('Sales Data'!$B$4:$B$291,$A18,'Sales Data'!$E$4:$E$291)</f>
        <v>4909</v>
      </c>
      <c r="C18" s="44" t="n">
        <f aca="false">SUMIF('Sales Data'!$B$4:$B$291,$A18,'Sales Data'!$G$4:$G$291)</f>
        <v>20025057.63</v>
      </c>
      <c r="D18" s="44" t="n">
        <f aca="false">SUMIF('Sales Data'!$B$4:$B$291,$A18,'Sales Data'!$I$4:$I$291)</f>
        <v>9408785.4414</v>
      </c>
      <c r="E18" s="44" t="n">
        <f aca="false">C18-D18</f>
        <v>10616272.1886</v>
      </c>
      <c r="F18" s="23" t="n">
        <f aca="false">IF(C18=0,"-",E18/C18)</f>
        <v>0.530149395060692</v>
      </c>
      <c r="G18" s="49" t="n">
        <f aca="false">IF(C6=0,"-",(C18-C6)/C6)</f>
        <v>0.178723503710279</v>
      </c>
      <c r="H18" s="47" t="n">
        <f aca="false">AVERAGE(C16:C18)</f>
        <v>18175139.0633333</v>
      </c>
    </row>
    <row r="19" customFormat="false" ht="15" hidden="false" customHeight="true" outlineLevel="0" collapsed="false">
      <c r="A19" s="24" t="s">
        <v>87</v>
      </c>
      <c r="B19" s="45" t="n">
        <f aca="false">SUMIF('Sales Data'!$B$4:$B$291,$A19,'Sales Data'!$E$4:$E$291)</f>
        <v>5080</v>
      </c>
      <c r="C19" s="46" t="n">
        <f aca="false">SUMIF('Sales Data'!$B$4:$B$291,$A19,'Sales Data'!$G$4:$G$291)</f>
        <v>20876729.5</v>
      </c>
      <c r="D19" s="46" t="n">
        <f aca="false">SUMIF('Sales Data'!$B$4:$B$291,$A19,'Sales Data'!$I$4:$I$291)</f>
        <v>9789590.3786</v>
      </c>
      <c r="E19" s="46" t="n">
        <f aca="false">C19-D19</f>
        <v>11087139.1214</v>
      </c>
      <c r="F19" s="27" t="n">
        <f aca="false">IF(C19=0,"-",E19/C19)</f>
        <v>0.531076437111474</v>
      </c>
      <c r="G19" s="50" t="n">
        <f aca="false">IF(C7=0,"-",(C19-C7)/C7)</f>
        <v>0.143292586046361</v>
      </c>
      <c r="H19" s="48" t="n">
        <f aca="false">AVERAGE(C17:C19)</f>
        <v>19340506.51</v>
      </c>
    </row>
    <row r="20" customFormat="false" ht="15" hidden="false" customHeight="true" outlineLevel="0" collapsed="false">
      <c r="A20" s="8" t="s">
        <v>88</v>
      </c>
      <c r="B20" s="43" t="n">
        <f aca="false">SUMIF('Sales Data'!$B$4:$B$291,$A20,'Sales Data'!$E$4:$E$291)</f>
        <v>5380</v>
      </c>
      <c r="C20" s="44" t="n">
        <f aca="false">SUMIF('Sales Data'!$B$4:$B$291,$A20,'Sales Data'!$G$4:$G$291)</f>
        <v>22158513.73</v>
      </c>
      <c r="D20" s="44" t="n">
        <f aca="false">SUMIF('Sales Data'!$B$4:$B$291,$A20,'Sales Data'!$I$4:$I$291)</f>
        <v>10404973.6052</v>
      </c>
      <c r="E20" s="44" t="n">
        <f aca="false">C20-D20</f>
        <v>11753540.1248</v>
      </c>
      <c r="F20" s="23" t="n">
        <f aca="false">IF(C20=0,"-",E20/C20)</f>
        <v>0.530429985874328</v>
      </c>
      <c r="G20" s="49" t="n">
        <f aca="false">IF(C8=0,"-",(C20-C8)/C8)</f>
        <v>0.106795142853766</v>
      </c>
      <c r="H20" s="47" t="n">
        <f aca="false">AVERAGE(C18:C20)</f>
        <v>21020100.2866667</v>
      </c>
    </row>
    <row r="21" customFormat="false" ht="15" hidden="false" customHeight="true" outlineLevel="0" collapsed="false">
      <c r="A21" s="24" t="s">
        <v>89</v>
      </c>
      <c r="B21" s="45" t="n">
        <f aca="false">SUMIF('Sales Data'!$B$4:$B$291,$A21,'Sales Data'!$E$4:$E$291)</f>
        <v>5745</v>
      </c>
      <c r="C21" s="46" t="n">
        <f aca="false">SUMIF('Sales Data'!$B$4:$B$291,$A21,'Sales Data'!$G$4:$G$291)</f>
        <v>23465606.3</v>
      </c>
      <c r="D21" s="46" t="n">
        <f aca="false">SUMIF('Sales Data'!$B$4:$B$291,$A21,'Sales Data'!$I$4:$I$291)</f>
        <v>11028681.188</v>
      </c>
      <c r="E21" s="46" t="n">
        <f aca="false">C21-D21</f>
        <v>12436925.112</v>
      </c>
      <c r="F21" s="27" t="n">
        <f aca="false">IF(C21=0,"-",E21/C21)</f>
        <v>0.530006553122814</v>
      </c>
      <c r="G21" s="50" t="n">
        <f aca="false">IF(C9=0,"-",(C21-C9)/C9)</f>
        <v>0.137040567140425</v>
      </c>
      <c r="H21" s="48" t="n">
        <f aca="false">AVERAGE(C19:C21)</f>
        <v>22166949.8433333</v>
      </c>
    </row>
    <row r="22" customFormat="false" ht="15" hidden="false" customHeight="true" outlineLevel="0" collapsed="false">
      <c r="A22" s="8" t="s">
        <v>90</v>
      </c>
      <c r="B22" s="43" t="n">
        <f aca="false">SUMIF('Sales Data'!$B$4:$B$291,$A22,'Sales Data'!$E$4:$E$291)</f>
        <v>5798</v>
      </c>
      <c r="C22" s="44" t="n">
        <f aca="false">SUMIF('Sales Data'!$B$4:$B$291,$A22,'Sales Data'!$G$4:$G$291)</f>
        <v>24174099.77</v>
      </c>
      <c r="D22" s="44" t="n">
        <f aca="false">SUMIF('Sales Data'!$B$4:$B$291,$A22,'Sales Data'!$I$4:$I$291)</f>
        <v>11345633.793</v>
      </c>
      <c r="E22" s="44" t="n">
        <f aca="false">C22-D22</f>
        <v>12828465.977</v>
      </c>
      <c r="F22" s="23" t="n">
        <f aca="false">IF(C22=0,"-",E22/C22)</f>
        <v>0.530669853233587</v>
      </c>
      <c r="G22" s="49" t="n">
        <f aca="false">IF(C10=0,"-",(C22-C10)/C10)</f>
        <v>0.210289265014785</v>
      </c>
      <c r="H22" s="47" t="n">
        <f aca="false">AVERAGE(C20:C22)</f>
        <v>23266073.2666667</v>
      </c>
    </row>
    <row r="23" customFormat="false" ht="15" hidden="false" customHeight="true" outlineLevel="0" collapsed="false">
      <c r="A23" s="24" t="s">
        <v>91</v>
      </c>
      <c r="B23" s="45" t="n">
        <f aca="false">SUMIF('Sales Data'!$B$4:$B$291,$A23,'Sales Data'!$E$4:$E$291)</f>
        <v>5449</v>
      </c>
      <c r="C23" s="46" t="n">
        <f aca="false">SUMIF('Sales Data'!$B$4:$B$291,$A23,'Sales Data'!$G$4:$G$291)</f>
        <v>22402618.64</v>
      </c>
      <c r="D23" s="46" t="n">
        <f aca="false">SUMIF('Sales Data'!$B$4:$B$291,$A23,'Sales Data'!$I$4:$I$291)</f>
        <v>10525793.3498</v>
      </c>
      <c r="E23" s="46" t="n">
        <f aca="false">C23-D23</f>
        <v>11876825.2902</v>
      </c>
      <c r="F23" s="27" t="n">
        <f aca="false">IF(C23=0,"-",E23/C23)</f>
        <v>0.530153437910775</v>
      </c>
      <c r="G23" s="50" t="n">
        <f aca="false">IF(C11=0,"-",(C23-C11)/C11)</f>
        <v>0.143084259396082</v>
      </c>
      <c r="H23" s="48" t="n">
        <f aca="false">AVERAGE(C21:C23)</f>
        <v>23347441.57</v>
      </c>
    </row>
    <row r="24" customFormat="false" ht="15" hidden="false" customHeight="true" outlineLevel="0" collapsed="false">
      <c r="A24" s="8" t="s">
        <v>92</v>
      </c>
      <c r="B24" s="43" t="n">
        <f aca="false">SUMIF('Sales Data'!$B$4:$B$291,$A24,'Sales Data'!$E$4:$E$291)</f>
        <v>5350</v>
      </c>
      <c r="C24" s="44" t="n">
        <f aca="false">SUMIF('Sales Data'!$B$4:$B$291,$A24,'Sales Data'!$G$4:$G$291)</f>
        <v>21789297.87</v>
      </c>
      <c r="D24" s="44" t="n">
        <f aca="false">SUMIF('Sales Data'!$B$4:$B$291,$A24,'Sales Data'!$I$4:$I$291)</f>
        <v>10229186.7146</v>
      </c>
      <c r="E24" s="44" t="n">
        <f aca="false">C24-D24</f>
        <v>11560111.1554</v>
      </c>
      <c r="F24" s="23" t="n">
        <f aca="false">IF(C24=0,"-",E24/C24)</f>
        <v>0.530540783111521</v>
      </c>
      <c r="G24" s="49" t="n">
        <f aca="false">IF(C12=0,"-",(C24-C12)/C12)</f>
        <v>0.107155943461119</v>
      </c>
      <c r="H24" s="47" t="n">
        <f aca="false">AVERAGE(C22:C24)</f>
        <v>22788672.0933333</v>
      </c>
    </row>
    <row r="25" customFormat="false" ht="15" hidden="false" customHeight="true" outlineLevel="0" collapsed="false">
      <c r="A25" s="24" t="s">
        <v>93</v>
      </c>
      <c r="B25" s="45" t="n">
        <f aca="false">SUMIF('Sales Data'!$B$4:$B$291,$A25,'Sales Data'!$E$4:$E$291)</f>
        <v>5936</v>
      </c>
      <c r="C25" s="46" t="n">
        <f aca="false">SUMIF('Sales Data'!$B$4:$B$291,$A25,'Sales Data'!$G$4:$G$291)</f>
        <v>24102708.55</v>
      </c>
      <c r="D25" s="46" t="n">
        <f aca="false">SUMIF('Sales Data'!$B$4:$B$291,$A25,'Sales Data'!$I$4:$I$291)</f>
        <v>11288092.3358</v>
      </c>
      <c r="E25" s="46" t="n">
        <f aca="false">C25-D25</f>
        <v>12814616.2142</v>
      </c>
      <c r="F25" s="27" t="n">
        <f aca="false">IF(C25=0,"-",E25/C25)</f>
        <v>0.53166706088723</v>
      </c>
      <c r="G25" s="50" t="n">
        <f aca="false">IF(C13=0,"-",(C25-C13)/C13)</f>
        <v>0.150854462425816</v>
      </c>
      <c r="H25" s="48" t="n">
        <f aca="false">AVERAGE(C23:C25)</f>
        <v>22764875.02</v>
      </c>
    </row>
    <row r="26" customFormat="false" ht="15" hidden="false" customHeight="true" outlineLevel="0" collapsed="false">
      <c r="A26" s="8" t="s">
        <v>94</v>
      </c>
      <c r="B26" s="43" t="n">
        <f aca="false">SUMIF('Sales Data'!$B$4:$B$291,$A26,'Sales Data'!$E$4:$E$291)</f>
        <v>7228</v>
      </c>
      <c r="C26" s="44" t="n">
        <f aca="false">SUMIF('Sales Data'!$B$4:$B$291,$A26,'Sales Data'!$G$4:$G$291)</f>
        <v>29293725.24</v>
      </c>
      <c r="D26" s="44" t="n">
        <f aca="false">SUMIF('Sales Data'!$B$4:$B$291,$A26,'Sales Data'!$I$4:$I$291)</f>
        <v>13700213.934</v>
      </c>
      <c r="E26" s="44" t="n">
        <f aca="false">C26-D26</f>
        <v>15593511.306</v>
      </c>
      <c r="F26" s="23" t="n">
        <f aca="false">IF(C26=0,"-",E26/C26)</f>
        <v>0.532315749473453</v>
      </c>
      <c r="G26" s="49" t="n">
        <f aca="false">IF(C14=0,"-",(C26-C14)/C14)</f>
        <v>0.137852555383845</v>
      </c>
      <c r="H26" s="47" t="n">
        <f aca="false">AVERAGE(C24:C26)</f>
        <v>25061910.5533333</v>
      </c>
    </row>
    <row r="27" customFormat="false" ht="15" hidden="false" customHeight="true" outlineLevel="0" collapsed="false">
      <c r="A27" s="24" t="s">
        <v>95</v>
      </c>
      <c r="B27" s="45" t="n">
        <f aca="false">SUMIF('Sales Data'!$B$4:$B$291,$A27,'Sales Data'!$E$4:$E$291)</f>
        <v>8157</v>
      </c>
      <c r="C27" s="46" t="n">
        <f aca="false">SUMIF('Sales Data'!$B$4:$B$291,$A27,'Sales Data'!$G$4:$G$291)</f>
        <v>34177075.39</v>
      </c>
      <c r="D27" s="46" t="n">
        <f aca="false">SUMIF('Sales Data'!$B$4:$B$291,$A27,'Sales Data'!$I$4:$I$291)</f>
        <v>16058638.9582</v>
      </c>
      <c r="E27" s="46" t="n">
        <f aca="false">C27-D27</f>
        <v>18118436.4318</v>
      </c>
      <c r="F27" s="27" t="n">
        <f aca="false">IF(C27=0,"-",E27/C27)</f>
        <v>0.530134197412964</v>
      </c>
      <c r="G27" s="50" t="n">
        <f aca="false">IF(C15=0,"-",(C27-C15)/C15)</f>
        <v>0.159605925836434</v>
      </c>
      <c r="H27" s="48" t="n">
        <f aca="false">AVERAGE(C25:C27)</f>
        <v>29191169.7266667</v>
      </c>
    </row>
    <row r="28" customFormat="false" ht="15" hidden="false" customHeight="true" outlineLevel="0" collapsed="false">
      <c r="A28" s="51" t="s">
        <v>101</v>
      </c>
      <c r="B28" s="52" t="n">
        <f aca="false">SUM(B4:B27)</f>
        <v>125572</v>
      </c>
      <c r="C28" s="53" t="n">
        <f aca="false">SUM(C4:C27)</f>
        <v>517689890.91</v>
      </c>
      <c r="D28" s="53" t="n">
        <f aca="false">SUM(D4:D27)</f>
        <v>243133942.0926</v>
      </c>
      <c r="E28" s="53" t="n">
        <f aca="false">SUM(E4:E27)</f>
        <v>274555948.8174</v>
      </c>
      <c r="F28" s="54" t="n">
        <f aca="false">E28/C28</f>
        <v>0.530348290817082</v>
      </c>
      <c r="G28" s="51"/>
      <c r="H28" s="51"/>
    </row>
    <row r="30" customFormat="false" ht="15" hidden="false" customHeight="true" outlineLevel="0" collapsed="false">
      <c r="A30" s="4" t="s">
        <v>102</v>
      </c>
    </row>
    <row r="32" customFormat="false" ht="19.5" hidden="false" customHeight="true" outlineLevel="0" collapsed="false">
      <c r="A32" s="6" t="s">
        <v>62</v>
      </c>
      <c r="B32" s="6" t="s">
        <v>43</v>
      </c>
      <c r="C32" s="6" t="s">
        <v>44</v>
      </c>
      <c r="D32" s="6" t="s">
        <v>45</v>
      </c>
      <c r="E32" s="6" t="s">
        <v>103</v>
      </c>
    </row>
    <row r="33" customFormat="false" ht="15" hidden="false" customHeight="true" outlineLevel="0" collapsed="false">
      <c r="A33" s="55" t="s">
        <v>69</v>
      </c>
      <c r="B33" s="44" t="n">
        <f aca="false">SUMPRODUCT(('Sales Data'!$C$4:$C$291=$A33)*('Sales Data'!$D$4:$D$291=B$32)*(RIGHT('Sales Data'!$B$4:$B$291,4)="2025")*'Sales Data'!$G$4:$G$291)</f>
        <v>27631402.69</v>
      </c>
      <c r="C33" s="44" t="n">
        <f aca="false">SUMPRODUCT(('Sales Data'!$C$4:$C$291=$A33)*('Sales Data'!$D$4:$D$291=C$32)*(RIGHT('Sales Data'!$B$4:$B$291,4)="2025")*'Sales Data'!$G$4:$G$291)</f>
        <v>28837291.92</v>
      </c>
      <c r="D33" s="44" t="n">
        <f aca="false">SUMPRODUCT(('Sales Data'!$C$4:$C$291=$A33)*('Sales Data'!$D$4:$D$291=D$32)*(RIGHT('Sales Data'!$B$4:$B$291,4)="2025")*'Sales Data'!$G$4:$G$291)</f>
        <v>13311181.96</v>
      </c>
      <c r="E33" s="56" t="n">
        <f aca="false">SUM(B33:D33)</f>
        <v>69779876.57</v>
      </c>
    </row>
    <row r="34" customFormat="false" ht="15" hidden="false" customHeight="true" outlineLevel="0" collapsed="false">
      <c r="A34" s="28" t="s">
        <v>70</v>
      </c>
      <c r="B34" s="46" t="n">
        <f aca="false">SUMPRODUCT(('Sales Data'!$C$4:$C$291=$A34)*('Sales Data'!$D$4:$D$291=B$32)*(RIGHT('Sales Data'!$B$4:$B$291,4)="2025")*'Sales Data'!$G$4:$G$291)</f>
        <v>25238505.17</v>
      </c>
      <c r="C34" s="46" t="n">
        <f aca="false">SUMPRODUCT(('Sales Data'!$C$4:$C$291=$A34)*('Sales Data'!$D$4:$D$291=C$32)*(RIGHT('Sales Data'!$B$4:$B$291,4)="2025")*'Sales Data'!$G$4:$G$291)</f>
        <v>25245704.27</v>
      </c>
      <c r="D34" s="46" t="n">
        <f aca="false">SUMPRODUCT(('Sales Data'!$C$4:$C$291=$A34)*('Sales Data'!$D$4:$D$291=D$32)*(RIGHT('Sales Data'!$B$4:$B$291,4)="2025")*'Sales Data'!$G$4:$G$291)</f>
        <v>11877747.94</v>
      </c>
      <c r="E34" s="57" t="n">
        <f aca="false">SUM(B34:D34)</f>
        <v>62361957.38</v>
      </c>
    </row>
    <row r="35" customFormat="false" ht="15" hidden="false" customHeight="true" outlineLevel="0" collapsed="false">
      <c r="A35" s="55" t="s">
        <v>71</v>
      </c>
      <c r="B35" s="44" t="n">
        <f aca="false">SUMPRODUCT(('Sales Data'!$C$4:$C$291=$A35)*('Sales Data'!$D$4:$D$291=B$32)*(RIGHT('Sales Data'!$B$4:$B$291,4)="2025")*'Sales Data'!$G$4:$G$291)</f>
        <v>31775706.85</v>
      </c>
      <c r="C35" s="44" t="n">
        <f aca="false">SUMPRODUCT(('Sales Data'!$C$4:$C$291=$A35)*('Sales Data'!$D$4:$D$291=C$32)*(RIGHT('Sales Data'!$B$4:$B$291,4)="2025")*'Sales Data'!$G$4:$G$291)</f>
        <v>30183286.32</v>
      </c>
      <c r="D35" s="44" t="n">
        <f aca="false">SUMPRODUCT(('Sales Data'!$C$4:$C$291=$A35)*('Sales Data'!$D$4:$D$291=D$32)*(RIGHT('Sales Data'!$B$4:$B$291,4)="2025")*'Sales Data'!$G$4:$G$291)</f>
        <v>14485467.75</v>
      </c>
      <c r="E35" s="56" t="n">
        <f aca="false">SUM(B35:D35)</f>
        <v>76444460.92</v>
      </c>
    </row>
    <row r="36" customFormat="false" ht="15" hidden="false" customHeight="true" outlineLevel="0" collapsed="false">
      <c r="A36" s="28" t="s">
        <v>72</v>
      </c>
      <c r="B36" s="46" t="n">
        <f aca="false">SUMPRODUCT(('Sales Data'!$C$4:$C$291=$A36)*('Sales Data'!$D$4:$D$291=B$32)*(RIGHT('Sales Data'!$B$4:$B$291,4)="2025")*'Sales Data'!$G$4:$G$291)</f>
        <v>27860372.94</v>
      </c>
      <c r="C36" s="46" t="n">
        <f aca="false">SUMPRODUCT(('Sales Data'!$C$4:$C$291=$A36)*('Sales Data'!$D$4:$D$291=C$32)*(RIGHT('Sales Data'!$B$4:$B$291,4)="2025")*'Sales Data'!$G$4:$G$291)</f>
        <v>28146418.5</v>
      </c>
      <c r="D36" s="46" t="n">
        <f aca="false">SUMPRODUCT(('Sales Data'!$C$4:$C$291=$A36)*('Sales Data'!$D$4:$D$291=D$32)*(RIGHT('Sales Data'!$B$4:$B$291,4)="2025")*'Sales Data'!$G$4:$G$291)</f>
        <v>12372705.87</v>
      </c>
      <c r="E36" s="57" t="n">
        <f aca="false">SUM(B36:D36)</f>
        <v>68379497.31</v>
      </c>
    </row>
    <row r="37" customFormat="false" ht="15" hidden="false" customHeight="true" outlineLevel="0" collapsed="false">
      <c r="A37" s="58" t="s">
        <v>103</v>
      </c>
      <c r="B37" s="59" t="n">
        <f aca="false">SUM(B33:B36)</f>
        <v>112505987.65</v>
      </c>
      <c r="C37" s="59" t="n">
        <f aca="false">SUM(C33:C36)</f>
        <v>112412701.01</v>
      </c>
      <c r="D37" s="59" t="n">
        <f aca="false">SUM(D33:D36)</f>
        <v>52047103.52</v>
      </c>
      <c r="E37" s="59" t="n">
        <f aca="false">SUM(E33:E36)</f>
        <v>276965792.18</v>
      </c>
    </row>
  </sheetData>
  <mergeCells count="1">
    <mergeCell ref="A1:H1"/>
  </mergeCells>
  <conditionalFormatting sqref="F4:F2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4:C27">
    <cfRule type="dataBar" priority="3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{C8D78056-B967-4A11-BD9C-AEF1D081C810}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D78056-B967-4A11-BD9C-AEF1D081C810}">
            <x14:dataBar minLength="10" maxLength="90" axisPosition="none" gradient="true">
              <x14:cfvo type="min"/>
              <x14:cfvo type="max"/>
              <x14:negativeFillColor rgb="FF638EC6"/>
              <x14:axisColor rgb="FF000000"/>
            </x14:dataBar>
          </x14:cfRule>
          <xm:sqref>C4:C27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42"/>
  </cols>
  <sheetData>
    <row r="1" customFormat="false" ht="33.75" hidden="false" customHeight="true" outlineLevel="0" collapsed="false">
      <c r="A1" s="2" t="s">
        <v>104</v>
      </c>
      <c r="B1" s="2"/>
      <c r="C1" s="2"/>
      <c r="D1" s="2"/>
    </row>
    <row r="2" customFormat="false" ht="18" hidden="false" customHeight="true" outlineLevel="0" collapsed="false">
      <c r="A2" s="3" t="s">
        <v>105</v>
      </c>
      <c r="B2" s="3"/>
      <c r="C2" s="3"/>
      <c r="D2" s="3"/>
    </row>
    <row r="3" customFormat="false" ht="15" hidden="false" customHeight="true" outlineLevel="0" collapsed="false">
      <c r="A3" s="4" t="s">
        <v>106</v>
      </c>
    </row>
    <row r="4" customFormat="false" ht="15" hidden="false" customHeight="true" outlineLevel="0" collapsed="false">
      <c r="A4" s="28" t="s">
        <v>107</v>
      </c>
      <c r="B4" s="60" t="n">
        <f aca="false">'Monthly Summary'!C27</f>
        <v>34177075.39</v>
      </c>
      <c r="C4" s="19" t="s">
        <v>108</v>
      </c>
    </row>
    <row r="5" customFormat="false" ht="15" hidden="false" customHeight="true" outlineLevel="0" collapsed="false">
      <c r="A5" s="28" t="s">
        <v>109</v>
      </c>
      <c r="B5" s="61" t="n">
        <v>0.02</v>
      </c>
      <c r="C5" s="19" t="s">
        <v>110</v>
      </c>
    </row>
    <row r="6" customFormat="false" ht="15" hidden="false" customHeight="true" outlineLevel="0" collapsed="false">
      <c r="A6" s="28" t="s">
        <v>111</v>
      </c>
      <c r="B6" s="61" t="n">
        <v>0.15</v>
      </c>
      <c r="C6" s="19" t="s">
        <v>112</v>
      </c>
    </row>
    <row r="8" customFormat="false" ht="15" hidden="false" customHeight="true" outlineLevel="0" collapsed="false">
      <c r="A8" s="4" t="s">
        <v>113</v>
      </c>
    </row>
    <row r="9" customFormat="false" ht="15" hidden="false" customHeight="true" outlineLevel="0" collapsed="false">
      <c r="A9" s="28" t="s">
        <v>114</v>
      </c>
      <c r="B9" s="61" t="n">
        <v>0.455</v>
      </c>
      <c r="C9" s="19" t="s">
        <v>115</v>
      </c>
    </row>
    <row r="10" customFormat="false" ht="15" hidden="false" customHeight="true" outlineLevel="0" collapsed="false">
      <c r="A10" s="28" t="s">
        <v>116</v>
      </c>
      <c r="B10" s="61" t="n">
        <v>0.28</v>
      </c>
      <c r="C10" s="19" t="s">
        <v>117</v>
      </c>
    </row>
    <row r="11" customFormat="false" ht="15" hidden="false" customHeight="true" outlineLevel="0" collapsed="false">
      <c r="A11" s="28" t="s">
        <v>118</v>
      </c>
      <c r="B11" s="61" t="n">
        <v>0.02</v>
      </c>
    </row>
    <row r="12" customFormat="false" ht="15" hidden="false" customHeight="true" outlineLevel="0" collapsed="false">
      <c r="A12" s="28" t="s">
        <v>119</v>
      </c>
      <c r="B12" s="62" t="n">
        <v>764000</v>
      </c>
      <c r="C12" s="19" t="s">
        <v>120</v>
      </c>
    </row>
    <row r="13" customFormat="false" ht="15" hidden="false" customHeight="true" outlineLevel="0" collapsed="false">
      <c r="A13" s="28" t="s">
        <v>121</v>
      </c>
      <c r="B13" s="61" t="n">
        <v>0.24</v>
      </c>
    </row>
    <row r="15" customFormat="false" ht="15" hidden="false" customHeight="true" outlineLevel="0" collapsed="false">
      <c r="A15" s="4" t="s">
        <v>122</v>
      </c>
    </row>
    <row r="16" customFormat="false" ht="15" hidden="false" customHeight="true" outlineLevel="0" collapsed="false">
      <c r="A16" s="28" t="s">
        <v>123</v>
      </c>
      <c r="B16" s="63" t="s">
        <v>124</v>
      </c>
      <c r="C16" s="19" t="s">
        <v>125</v>
      </c>
    </row>
    <row r="17" customFormat="false" ht="15" hidden="false" customHeight="true" outlineLevel="0" collapsed="false">
      <c r="A17" s="28" t="s">
        <v>126</v>
      </c>
      <c r="B17" s="64" t="n">
        <v>12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14" min="2" style="1" width="14"/>
  </cols>
  <sheetData>
    <row r="1" customFormat="false" ht="33.75" hidden="false" customHeight="true" outlineLevel="0" collapsed="false">
      <c r="A1" s="2" t="s">
        <v>127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8" hidden="false" customHeight="true" outlineLevel="0" collapsed="false">
      <c r="A2" s="3" t="s">
        <v>128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25.5" hidden="false" customHeight="true" outlineLevel="0" collapsed="false">
      <c r="A3" s="65" t="s">
        <v>129</v>
      </c>
      <c r="B3" s="66" t="s">
        <v>124</v>
      </c>
      <c r="C3" s="66" t="s">
        <v>130</v>
      </c>
      <c r="D3" s="66" t="s">
        <v>131</v>
      </c>
      <c r="E3" s="66" t="s">
        <v>132</v>
      </c>
      <c r="F3" s="66" t="s">
        <v>133</v>
      </c>
      <c r="G3" s="66" t="s">
        <v>134</v>
      </c>
      <c r="H3" s="66" t="s">
        <v>135</v>
      </c>
      <c r="I3" s="66" t="s">
        <v>136</v>
      </c>
      <c r="J3" s="66" t="s">
        <v>137</v>
      </c>
      <c r="K3" s="66" t="s">
        <v>138</v>
      </c>
      <c r="L3" s="66" t="s">
        <v>139</v>
      </c>
      <c r="M3" s="66" t="s">
        <v>140</v>
      </c>
      <c r="N3" s="20" t="s">
        <v>141</v>
      </c>
    </row>
    <row r="4" customFormat="false" ht="15" hidden="false" customHeight="true" outlineLevel="0" collapsed="false">
      <c r="A4" s="31" t="s">
        <v>142</v>
      </c>
      <c r="B4" s="46" t="n">
        <f aca="false">Assumptions!$B$4*(1+Assumptions!$B$5)</f>
        <v>34860616.8978</v>
      </c>
      <c r="C4" s="46" t="n">
        <f aca="false">B4*(1+Assumptions!$B$5)</f>
        <v>35557829.235756</v>
      </c>
      <c r="D4" s="46" t="n">
        <f aca="false">C4*(1+Assumptions!$B$5)</f>
        <v>36268985.8204711</v>
      </c>
      <c r="E4" s="46" t="n">
        <f aca="false">D4*(1+Assumptions!$B$5)</f>
        <v>36994365.5368805</v>
      </c>
      <c r="F4" s="46" t="n">
        <f aca="false">E4*(1+Assumptions!$B$5)</f>
        <v>37734252.8476182</v>
      </c>
      <c r="G4" s="46" t="n">
        <f aca="false">F4*(1+Assumptions!$B$5)</f>
        <v>38488937.9045705</v>
      </c>
      <c r="H4" s="46" t="n">
        <f aca="false">G4*(1+Assumptions!$B$5)</f>
        <v>39258716.6626619</v>
      </c>
      <c r="I4" s="46" t="n">
        <f aca="false">H4*(1+Assumptions!$B$5)</f>
        <v>40043890.9959152</v>
      </c>
      <c r="J4" s="46" t="n">
        <f aca="false">I4*(1+Assumptions!$B$5)</f>
        <v>40844768.8158335</v>
      </c>
      <c r="K4" s="46" t="n">
        <f aca="false">J4*(1+Assumptions!$B$5)</f>
        <v>41661664.1921501</v>
      </c>
      <c r="L4" s="46" t="n">
        <f aca="false">K4*(1+Assumptions!$B$5)*(1+Assumptions!$B$6)</f>
        <v>48869132.0973921</v>
      </c>
      <c r="M4" s="46" t="n">
        <f aca="false">L4*(1+Assumptions!$B$5)*(1+Assumptions!$B$6)</f>
        <v>57323491.950241</v>
      </c>
      <c r="N4" s="57" t="n">
        <f aca="false">SUM(B4:M4)</f>
        <v>487906652.95729</v>
      </c>
    </row>
    <row r="5" customFormat="false" ht="15" hidden="false" customHeight="true" outlineLevel="0" collapsed="false">
      <c r="A5" s="67" t="s">
        <v>143</v>
      </c>
      <c r="B5" s="46" t="n">
        <f aca="false">B4*Assumptions!$B$9</f>
        <v>15861580.688499</v>
      </c>
      <c r="C5" s="46" t="n">
        <f aca="false">C4*Assumptions!$B$9</f>
        <v>16178812.302269</v>
      </c>
      <c r="D5" s="46" t="n">
        <f aca="false">D4*Assumptions!$B$9</f>
        <v>16502388.5483144</v>
      </c>
      <c r="E5" s="46" t="n">
        <f aca="false">E4*Assumptions!$B$9</f>
        <v>16832436.3192807</v>
      </c>
      <c r="F5" s="46" t="n">
        <f aca="false">F4*Assumptions!$B$9</f>
        <v>17169085.0456663</v>
      </c>
      <c r="G5" s="46" t="n">
        <f aca="false">G4*Assumptions!$B$9</f>
        <v>17512466.7465796</v>
      </c>
      <c r="H5" s="46" t="n">
        <f aca="false">H4*Assumptions!$B$9</f>
        <v>17862716.0815112</v>
      </c>
      <c r="I5" s="46" t="n">
        <f aca="false">I4*Assumptions!$B$9</f>
        <v>18219970.4031414</v>
      </c>
      <c r="J5" s="46" t="n">
        <f aca="false">J4*Assumptions!$B$9</f>
        <v>18584369.8112042</v>
      </c>
      <c r="K5" s="46" t="n">
        <f aca="false">K4*Assumptions!$B$9</f>
        <v>18956057.2074283</v>
      </c>
      <c r="L5" s="46" t="n">
        <f aca="false">L4*Assumptions!$B$9</f>
        <v>22235455.1043134</v>
      </c>
      <c r="M5" s="46" t="n">
        <f aca="false">M4*Assumptions!$B$9</f>
        <v>26082188.8373596</v>
      </c>
      <c r="N5" s="48" t="n">
        <f aca="false">SUM(B5:M5)</f>
        <v>221997527.095567</v>
      </c>
    </row>
    <row r="6" customFormat="false" ht="15" hidden="false" customHeight="true" outlineLevel="0" collapsed="false">
      <c r="A6" s="31" t="s">
        <v>144</v>
      </c>
      <c r="B6" s="57" t="n">
        <f aca="false">B4-B5</f>
        <v>18999036.209301</v>
      </c>
      <c r="C6" s="57" t="n">
        <f aca="false">C4-C5</f>
        <v>19379016.933487</v>
      </c>
      <c r="D6" s="57" t="n">
        <f aca="false">D4-D5</f>
        <v>19766597.2721568</v>
      </c>
      <c r="E6" s="57" t="n">
        <f aca="false">E4-E5</f>
        <v>20161929.2175999</v>
      </c>
      <c r="F6" s="57" t="n">
        <f aca="false">F4-F5</f>
        <v>20565167.8019519</v>
      </c>
      <c r="G6" s="57" t="n">
        <f aca="false">G4-G5</f>
        <v>20976471.1579909</v>
      </c>
      <c r="H6" s="57" t="n">
        <f aca="false">H4-H5</f>
        <v>21396000.5811508</v>
      </c>
      <c r="I6" s="57" t="n">
        <f aca="false">I4-I5</f>
        <v>21823920.5927738</v>
      </c>
      <c r="J6" s="57" t="n">
        <f aca="false">J4-J5</f>
        <v>22260399.0046292</v>
      </c>
      <c r="K6" s="57" t="n">
        <f aca="false">K4-K5</f>
        <v>22705606.9847218</v>
      </c>
      <c r="L6" s="57" t="n">
        <f aca="false">L4-L5</f>
        <v>26633676.9930787</v>
      </c>
      <c r="M6" s="57" t="n">
        <f aca="false">M4-M5</f>
        <v>31241303.1128813</v>
      </c>
      <c r="N6" s="57" t="n">
        <f aca="false">SUM(B6:M6)</f>
        <v>265909125.861723</v>
      </c>
    </row>
    <row r="7" customFormat="false" ht="15" hidden="false" customHeight="true" outlineLevel="0" collapsed="false">
      <c r="A7" s="67" t="s">
        <v>145</v>
      </c>
      <c r="B7" s="68" t="n">
        <f aca="false">B6/B4</f>
        <v>0.545</v>
      </c>
      <c r="C7" s="68" t="n">
        <f aca="false">C6/C4</f>
        <v>0.545</v>
      </c>
      <c r="D7" s="68" t="n">
        <f aca="false">D6/D4</f>
        <v>0.545</v>
      </c>
      <c r="E7" s="68" t="n">
        <f aca="false">E6/E4</f>
        <v>0.545</v>
      </c>
      <c r="F7" s="68" t="n">
        <f aca="false">F6/F4</f>
        <v>0.545</v>
      </c>
      <c r="G7" s="68" t="n">
        <f aca="false">G6/G4</f>
        <v>0.545</v>
      </c>
      <c r="H7" s="68" t="n">
        <f aca="false">H6/H4</f>
        <v>0.545</v>
      </c>
      <c r="I7" s="68" t="n">
        <f aca="false">I6/I4</f>
        <v>0.545</v>
      </c>
      <c r="J7" s="68" t="n">
        <f aca="false">J6/J4</f>
        <v>0.545</v>
      </c>
      <c r="K7" s="68" t="n">
        <f aca="false">K6/K4</f>
        <v>0.545</v>
      </c>
      <c r="L7" s="68" t="n">
        <f aca="false">L6/L4</f>
        <v>0.545</v>
      </c>
      <c r="M7" s="68" t="n">
        <f aca="false">M6/M4</f>
        <v>0.545</v>
      </c>
      <c r="N7" s="69" t="n">
        <f aca="false">N6/N4</f>
        <v>0.545</v>
      </c>
    </row>
    <row r="8" customFormat="false" ht="15" hidden="false" customHeight="true" outlineLevel="0" collapsed="false">
      <c r="A8" s="67" t="s">
        <v>146</v>
      </c>
      <c r="B8" s="46" t="n">
        <f aca="false">B4*Assumptions!$B$10</f>
        <v>9760972.731384</v>
      </c>
      <c r="C8" s="46" t="n">
        <f aca="false">C4*Assumptions!$B$10</f>
        <v>9956192.18601168</v>
      </c>
      <c r="D8" s="46" t="n">
        <f aca="false">D4*Assumptions!$B$10</f>
        <v>10155316.0297319</v>
      </c>
      <c r="E8" s="46" t="n">
        <f aca="false">E4*Assumptions!$B$10</f>
        <v>10358422.3503266</v>
      </c>
      <c r="F8" s="46" t="n">
        <f aca="false">F4*Assumptions!$B$10</f>
        <v>10565590.7973331</v>
      </c>
      <c r="G8" s="46" t="n">
        <f aca="false">G4*Assumptions!$B$10</f>
        <v>10776902.6132797</v>
      </c>
      <c r="H8" s="46" t="n">
        <f aca="false">H4*Assumptions!$B$10</f>
        <v>10992440.6655453</v>
      </c>
      <c r="I8" s="46" t="n">
        <f aca="false">I4*Assumptions!$B$10</f>
        <v>11212289.4788563</v>
      </c>
      <c r="J8" s="46" t="n">
        <f aca="false">J4*Assumptions!$B$10</f>
        <v>11436535.2684334</v>
      </c>
      <c r="K8" s="46" t="n">
        <f aca="false">K4*Assumptions!$B$10</f>
        <v>11665265.973802</v>
      </c>
      <c r="L8" s="46" t="n">
        <f aca="false">L4*Assumptions!$B$10</f>
        <v>13683356.9872698</v>
      </c>
      <c r="M8" s="46" t="n">
        <f aca="false">M4*Assumptions!$B$10</f>
        <v>16050577.7460675</v>
      </c>
      <c r="N8" s="48" t="n">
        <f aca="false">SUM(B8:M8)</f>
        <v>136613862.828041</v>
      </c>
    </row>
    <row r="9" customFormat="false" ht="15" hidden="false" customHeight="true" outlineLevel="0" collapsed="false">
      <c r="A9" s="31" t="s">
        <v>147</v>
      </c>
      <c r="B9" s="57" t="n">
        <f aca="false">B6-B8</f>
        <v>9238063.477917</v>
      </c>
      <c r="C9" s="57" t="n">
        <f aca="false">C6-C8</f>
        <v>9422824.74747534</v>
      </c>
      <c r="D9" s="57" t="n">
        <f aca="false">D6-D8</f>
        <v>9611281.24242484</v>
      </c>
      <c r="E9" s="57" t="n">
        <f aca="false">E6-E8</f>
        <v>9803506.86727334</v>
      </c>
      <c r="F9" s="57" t="n">
        <f aca="false">F6-F8</f>
        <v>9999577.00461881</v>
      </c>
      <c r="G9" s="57" t="n">
        <f aca="false">G6-G8</f>
        <v>10199568.5447112</v>
      </c>
      <c r="H9" s="57" t="n">
        <f aca="false">H6-H8</f>
        <v>10403559.9156054</v>
      </c>
      <c r="I9" s="57" t="n">
        <f aca="false">I6-I8</f>
        <v>10611631.1139175</v>
      </c>
      <c r="J9" s="57" t="n">
        <f aca="false">J6-J8</f>
        <v>10823863.7361959</v>
      </c>
      <c r="K9" s="57" t="n">
        <f aca="false">K6-K8</f>
        <v>11040341.0109198</v>
      </c>
      <c r="L9" s="57" t="n">
        <f aca="false">L6-L8</f>
        <v>12950320.0058089</v>
      </c>
      <c r="M9" s="57" t="n">
        <f aca="false">M6-M8</f>
        <v>15190725.3668139</v>
      </c>
      <c r="N9" s="57" t="n">
        <f aca="false">SUM(B9:M9)</f>
        <v>129295263.033682</v>
      </c>
    </row>
    <row r="10" customFormat="false" ht="15" hidden="false" customHeight="true" outlineLevel="0" collapsed="false">
      <c r="A10" s="67" t="s">
        <v>148</v>
      </c>
      <c r="B10" s="46" t="n">
        <f aca="false">B4*Assumptions!$B$11</f>
        <v>697212.337956</v>
      </c>
      <c r="C10" s="46" t="n">
        <f aca="false">C4*Assumptions!$B$11</f>
        <v>711156.58471512</v>
      </c>
      <c r="D10" s="46" t="n">
        <f aca="false">D4*Assumptions!$B$11</f>
        <v>725379.716409423</v>
      </c>
      <c r="E10" s="46" t="n">
        <f aca="false">E4*Assumptions!$B$11</f>
        <v>739887.310737611</v>
      </c>
      <c r="F10" s="46" t="n">
        <f aca="false">F4*Assumptions!$B$11</f>
        <v>754685.056952363</v>
      </c>
      <c r="G10" s="46" t="n">
        <f aca="false">G4*Assumptions!$B$11</f>
        <v>769778.75809141</v>
      </c>
      <c r="H10" s="46" t="n">
        <f aca="false">H4*Assumptions!$B$11</f>
        <v>785174.333253239</v>
      </c>
      <c r="I10" s="46" t="n">
        <f aca="false">I4*Assumptions!$B$11</f>
        <v>800877.819918304</v>
      </c>
      <c r="J10" s="46" t="n">
        <f aca="false">J4*Assumptions!$B$11</f>
        <v>816895.37631667</v>
      </c>
      <c r="K10" s="46" t="n">
        <f aca="false">K4*Assumptions!$B$11</f>
        <v>833233.283843003</v>
      </c>
      <c r="L10" s="46" t="n">
        <f aca="false">L4*Assumptions!$B$11</f>
        <v>977382.641947842</v>
      </c>
      <c r="M10" s="46" t="n">
        <f aca="false">M4*Assumptions!$B$11</f>
        <v>1146469.83900482</v>
      </c>
      <c r="N10" s="48" t="n">
        <f aca="false">SUM(B10:M10)</f>
        <v>9758133.0591458</v>
      </c>
    </row>
    <row r="11" customFormat="false" ht="15" hidden="false" customHeight="true" outlineLevel="0" collapsed="false">
      <c r="A11" s="31" t="s">
        <v>149</v>
      </c>
      <c r="B11" s="57" t="n">
        <f aca="false">B9-B10</f>
        <v>8540851.139961</v>
      </c>
      <c r="C11" s="57" t="n">
        <f aca="false">C9-C10</f>
        <v>8711668.16276022</v>
      </c>
      <c r="D11" s="57" t="n">
        <f aca="false">D9-D10</f>
        <v>8885901.52601542</v>
      </c>
      <c r="E11" s="57" t="n">
        <f aca="false">E9-E10</f>
        <v>9063619.55653573</v>
      </c>
      <c r="F11" s="57" t="n">
        <f aca="false">F9-F10</f>
        <v>9244891.94766645</v>
      </c>
      <c r="G11" s="57" t="n">
        <f aca="false">G9-G10</f>
        <v>9429789.78661978</v>
      </c>
      <c r="H11" s="57" t="n">
        <f aca="false">H9-H10</f>
        <v>9618385.58235217</v>
      </c>
      <c r="I11" s="57" t="n">
        <f aca="false">I9-I10</f>
        <v>9810753.29399922</v>
      </c>
      <c r="J11" s="57" t="n">
        <f aca="false">J9-J10</f>
        <v>10006968.3598792</v>
      </c>
      <c r="K11" s="57" t="n">
        <f aca="false">K9-K10</f>
        <v>10207107.7270768</v>
      </c>
      <c r="L11" s="57" t="n">
        <f aca="false">L9-L10</f>
        <v>11972937.3638611</v>
      </c>
      <c r="M11" s="57" t="n">
        <f aca="false">M9-M10</f>
        <v>14044255.527809</v>
      </c>
      <c r="N11" s="57" t="n">
        <f aca="false">SUM(B11:M11)</f>
        <v>119537129.974536</v>
      </c>
    </row>
    <row r="12" customFormat="false" ht="15" hidden="false" customHeight="true" outlineLevel="0" collapsed="false">
      <c r="A12" s="67" t="s">
        <v>150</v>
      </c>
      <c r="B12" s="70" t="n">
        <f aca="false">Assumptions!$B$12</f>
        <v>764000</v>
      </c>
      <c r="C12" s="70" t="n">
        <f aca="false">Assumptions!$B$12</f>
        <v>764000</v>
      </c>
      <c r="D12" s="70" t="n">
        <f aca="false">Assumptions!$B$12</f>
        <v>764000</v>
      </c>
      <c r="E12" s="70" t="n">
        <f aca="false">Assumptions!$B$12</f>
        <v>764000</v>
      </c>
      <c r="F12" s="70" t="n">
        <f aca="false">Assumptions!$B$12</f>
        <v>764000</v>
      </c>
      <c r="G12" s="70" t="n">
        <f aca="false">Assumptions!$B$12</f>
        <v>764000</v>
      </c>
      <c r="H12" s="70" t="n">
        <f aca="false">Assumptions!$B$12</f>
        <v>764000</v>
      </c>
      <c r="I12" s="70" t="n">
        <f aca="false">Assumptions!$B$12</f>
        <v>764000</v>
      </c>
      <c r="J12" s="70" t="n">
        <f aca="false">Assumptions!$B$12</f>
        <v>764000</v>
      </c>
      <c r="K12" s="70" t="n">
        <f aca="false">Assumptions!$B$12</f>
        <v>764000</v>
      </c>
      <c r="L12" s="70" t="n">
        <f aca="false">Assumptions!$B$12</f>
        <v>764000</v>
      </c>
      <c r="M12" s="70" t="n">
        <f aca="false">Assumptions!$B$12</f>
        <v>764000</v>
      </c>
      <c r="N12" s="48" t="n">
        <f aca="false">SUM(B12:M12)</f>
        <v>9168000</v>
      </c>
    </row>
    <row r="13" customFormat="false" ht="15" hidden="false" customHeight="true" outlineLevel="0" collapsed="false">
      <c r="A13" s="31" t="s">
        <v>151</v>
      </c>
      <c r="B13" s="57" t="n">
        <f aca="false">B11-B12</f>
        <v>7776851.139961</v>
      </c>
      <c r="C13" s="57" t="n">
        <f aca="false">C11-C12</f>
        <v>7947668.16276022</v>
      </c>
      <c r="D13" s="57" t="n">
        <f aca="false">D11-D12</f>
        <v>8121901.52601542</v>
      </c>
      <c r="E13" s="57" t="n">
        <f aca="false">E11-E12</f>
        <v>8299619.55653573</v>
      </c>
      <c r="F13" s="57" t="n">
        <f aca="false">F11-F12</f>
        <v>8480891.94766645</v>
      </c>
      <c r="G13" s="57" t="n">
        <f aca="false">G11-G12</f>
        <v>8665789.78661978</v>
      </c>
      <c r="H13" s="57" t="n">
        <f aca="false">H11-H12</f>
        <v>8854385.58235217</v>
      </c>
      <c r="I13" s="57" t="n">
        <f aca="false">I11-I12</f>
        <v>9046753.29399922</v>
      </c>
      <c r="J13" s="57" t="n">
        <f aca="false">J11-J12</f>
        <v>9242968.3598792</v>
      </c>
      <c r="K13" s="57" t="n">
        <f aca="false">K11-K12</f>
        <v>9443107.72707678</v>
      </c>
      <c r="L13" s="57" t="n">
        <f aca="false">L11-L12</f>
        <v>11208937.3638611</v>
      </c>
      <c r="M13" s="57" t="n">
        <f aca="false">M11-M12</f>
        <v>13280255.527809</v>
      </c>
      <c r="N13" s="57" t="n">
        <f aca="false">SUM(B13:M13)</f>
        <v>110369129.974536</v>
      </c>
    </row>
    <row r="14" customFormat="false" ht="15" hidden="false" customHeight="true" outlineLevel="0" collapsed="false">
      <c r="A14" s="67" t="s">
        <v>152</v>
      </c>
      <c r="B14" s="46" t="n">
        <f aca="false">MAX(B13,0)*Assumptions!$B$13</f>
        <v>1866444.27359064</v>
      </c>
      <c r="C14" s="46" t="n">
        <f aca="false">MAX(C13,0)*Assumptions!$B$13</f>
        <v>1907440.35906245</v>
      </c>
      <c r="D14" s="46" t="n">
        <f aca="false">MAX(D13,0)*Assumptions!$B$13</f>
        <v>1949256.3662437</v>
      </c>
      <c r="E14" s="46" t="n">
        <f aca="false">MAX(E13,0)*Assumptions!$B$13</f>
        <v>1991908.69356858</v>
      </c>
      <c r="F14" s="46" t="n">
        <f aca="false">MAX(F13,0)*Assumptions!$B$13</f>
        <v>2035414.06743995</v>
      </c>
      <c r="G14" s="46" t="n">
        <f aca="false">MAX(G13,0)*Assumptions!$B$13</f>
        <v>2079789.54878875</v>
      </c>
      <c r="H14" s="46" t="n">
        <f aca="false">MAX(H13,0)*Assumptions!$B$13</f>
        <v>2125052.53976452</v>
      </c>
      <c r="I14" s="46" t="n">
        <f aca="false">MAX(I13,0)*Assumptions!$B$13</f>
        <v>2171220.79055981</v>
      </c>
      <c r="J14" s="46" t="n">
        <f aca="false">MAX(J13,0)*Assumptions!$B$13</f>
        <v>2218312.40637101</v>
      </c>
      <c r="K14" s="46" t="n">
        <f aca="false">MAX(K13,0)*Assumptions!$B$13</f>
        <v>2266345.85449843</v>
      </c>
      <c r="L14" s="46" t="n">
        <f aca="false">MAX(L13,0)*Assumptions!$B$13</f>
        <v>2690144.96732666</v>
      </c>
      <c r="M14" s="46" t="n">
        <f aca="false">MAX(M13,0)*Assumptions!$B$13</f>
        <v>3187261.32667417</v>
      </c>
      <c r="N14" s="48" t="n">
        <f aca="false">SUM(B14:M14)</f>
        <v>26488591.1938887</v>
      </c>
    </row>
    <row r="15" customFormat="false" ht="15" hidden="false" customHeight="true" outlineLevel="0" collapsed="false">
      <c r="A15" s="31" t="s">
        <v>153</v>
      </c>
      <c r="B15" s="71" t="n">
        <f aca="false">B13-B14</f>
        <v>5910406.86637036</v>
      </c>
      <c r="C15" s="71" t="n">
        <f aca="false">C13-C14</f>
        <v>6040227.80369777</v>
      </c>
      <c r="D15" s="71" t="n">
        <f aca="false">D13-D14</f>
        <v>6172645.15977172</v>
      </c>
      <c r="E15" s="71" t="n">
        <f aca="false">E13-E14</f>
        <v>6307710.86296716</v>
      </c>
      <c r="F15" s="71" t="n">
        <f aca="false">F13-F14</f>
        <v>6445477.8802265</v>
      </c>
      <c r="G15" s="71" t="n">
        <f aca="false">G13-G14</f>
        <v>6586000.23783103</v>
      </c>
      <c r="H15" s="71" t="n">
        <f aca="false">H13-H14</f>
        <v>6729333.04258765</v>
      </c>
      <c r="I15" s="71" t="n">
        <f aca="false">I13-I14</f>
        <v>6875532.5034394</v>
      </c>
      <c r="J15" s="71" t="n">
        <f aca="false">J13-J14</f>
        <v>7024655.95350819</v>
      </c>
      <c r="K15" s="71" t="n">
        <f aca="false">K13-K14</f>
        <v>7176761.87257836</v>
      </c>
      <c r="L15" s="71" t="n">
        <f aca="false">L13-L14</f>
        <v>8518792.39653441</v>
      </c>
      <c r="M15" s="71" t="n">
        <f aca="false">M13-M14</f>
        <v>10092994.2011349</v>
      </c>
      <c r="N15" s="71" t="n">
        <f aca="false">SUM(B15:M15)</f>
        <v>83880538.7806474</v>
      </c>
    </row>
    <row r="16" customFormat="false" ht="15" hidden="false" customHeight="true" outlineLevel="0" collapsed="false">
      <c r="A16" s="67" t="s">
        <v>154</v>
      </c>
      <c r="B16" s="68" t="n">
        <f aca="false">B15/B4</f>
        <v>0.169543955108361</v>
      </c>
      <c r="C16" s="68" t="n">
        <f aca="false">C15/C4</f>
        <v>0.169870544223883</v>
      </c>
      <c r="D16" s="68" t="n">
        <f aca="false">D15/D4</f>
        <v>0.170190729631258</v>
      </c>
      <c r="E16" s="68" t="n">
        <f aca="false">E15/E4</f>
        <v>0.17050463689339</v>
      </c>
      <c r="F16" s="68" t="n">
        <f aca="false">F15/F4</f>
        <v>0.170812389111167</v>
      </c>
      <c r="G16" s="68" t="n">
        <f aca="false">G15/G4</f>
        <v>0.171114106971732</v>
      </c>
      <c r="H16" s="68" t="n">
        <f aca="false">H15/H4</f>
        <v>0.171409908795816</v>
      </c>
      <c r="I16" s="68" t="n">
        <f aca="false">I15/I4</f>
        <v>0.171699910584133</v>
      </c>
      <c r="J16" s="68" t="n">
        <f aca="false">J15/J4</f>
        <v>0.171984226062876</v>
      </c>
      <c r="K16" s="68" t="n">
        <f aca="false">K15/K4</f>
        <v>0.172262966728309</v>
      </c>
      <c r="L16" s="68" t="n">
        <f aca="false">L15/L4</f>
        <v>0.17431847120913</v>
      </c>
      <c r="M16" s="68" t="n">
        <f aca="false">M15/M4</f>
        <v>0.176070819445123</v>
      </c>
      <c r="N16" s="69" t="n">
        <f aca="false">N15/N4</f>
        <v>0.171919235518172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2026-07-09T07:51:18Z</dcterms:created>
  <dc:creator>openpyxl</dc:creator>
  <dc:description/>
  <dc:language>en-US</dc:language>
  <cp:lastModifiedBy/>
  <dcterms:modified xsi:type="dcterms:W3CDTF">2026-07-09T08:11:12Z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